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6398a58b9b4b9d" /></Relationships>
</file>

<file path=xl/workbook.xml><?xml version="1.0" encoding="utf-8"?>
<x:workbook xmlns:x="http://schemas.openxmlformats.org/spreadsheetml/2006/main">
  <x:sheets>
    <x:sheet xmlns:r="http://schemas.openxmlformats.org/officeDocument/2006/relationships" name="00 Read Me" sheetId="1" r:id="R514c92027f1b4861"/>
    <x:sheet xmlns:r="http://schemas.openxmlformats.org/officeDocument/2006/relationships" name="01 Prior Year P&amp;L" sheetId="2" r:id="R00fef57f3b2c41f2"/>
    <x:sheet xmlns:r="http://schemas.openxmlformats.org/officeDocument/2006/relationships" name="02 Prior Year Sales" sheetId="3" r:id="R96bf524eee6240ab"/>
    <x:sheet xmlns:r="http://schemas.openxmlformats.org/officeDocument/2006/relationships" name="03 Prior Year Marketing" sheetId="4" r:id="R3d8702cc7b57442d"/>
    <x:sheet xmlns:r="http://schemas.openxmlformats.org/officeDocument/2006/relationships" name="04 Prior Year Programs" sheetId="5" r:id="R6fdb29402209406b"/>
    <x:sheet xmlns:r="http://schemas.openxmlformats.org/officeDocument/2006/relationships" name="05 Draft Sales Budget" sheetId="6" r:id="R227a51c93a734c50"/>
    <x:sheet xmlns:r="http://schemas.openxmlformats.org/officeDocument/2006/relationships" name="06 Draft Program Plan" sheetId="7" r:id="Ra834b9ed9f0246d4"/>
    <x:sheet xmlns:r="http://schemas.openxmlformats.org/officeDocument/2006/relationships" name="07 Draft Operating Costs" sheetId="8" r:id="R38745755b1d24048"/>
    <x:sheet xmlns:r="http://schemas.openxmlformats.org/officeDocument/2006/relationships" name="08 Draft P&amp;L" sheetId="9" r:id="Ra26e5d5ed6f646b3"/>
    <x:sheet xmlns:r="http://schemas.openxmlformats.org/officeDocument/2006/relationships" name="09 Assumption Review" sheetId="11" r:id="R07a93fbc0d41463f"/>
    <x:sheet xmlns:r="http://schemas.openxmlformats.org/officeDocument/2006/relationships" name="10 Corrected Budget" sheetId="12" r:id="Rfc18194473ae45dd"/>
    <x:sheet xmlns:r="http://schemas.openxmlformats.org/officeDocument/2006/relationships" name="11 Management Recommendation" sheetId="13" r:id="R6ca481d9b6c848fb"/>
    <x:sheet xmlns:r="http://schemas.openxmlformats.org/officeDocument/2006/relationships" name="12 Management Budget" sheetId="14" r:id="Rdd3bb36fd9cf4c30"/>
    <x:sheet xmlns:r="http://schemas.openxmlformats.org/officeDocument/2006/relationships" name="13 Monthly Comparison" sheetId="15" r:id="R2cd46dcc5bf346b3"/>
    <x:sheet xmlns:r="http://schemas.openxmlformats.org/officeDocument/2006/relationships" name="14 Drivers" sheetId="16" r:id="R5b29a977d8ea4294"/>
    <x:sheet xmlns:r="http://schemas.openxmlformats.org/officeDocument/2006/relationships" name="15 P1 Workings" sheetId="17" r:id="Rb274c3af592f4158"/>
    <x:sheet xmlns:r="http://schemas.openxmlformats.org/officeDocument/2006/relationships" name="16 P2 Workings" sheetId="18" r:id="Ra019f35b288344d6"/>
    <x:sheet xmlns:r="http://schemas.openxmlformats.org/officeDocument/2006/relationships" name="17 Program Economics" sheetId="19" r:id="R5c3789b1310c465b"/>
    <x:sheet xmlns:r="http://schemas.openxmlformats.org/officeDocument/2006/relationships" name="18 Forecast Review" sheetId="20" r:id="Rb13bace58dfd4dd9"/>
  </x:sheets>
</x:workbook>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Red](€#,##0);-"/>
    <x:numFmt numFmtId="201" formatCode="0.0%"/>
    <x:numFmt numFmtId="202" formatCode="#,##0;[Red](#,##0);-"/>
    <x:numFmt numFmtId="203" formatCode="0.0"/>
    <x:numFmt numFmtId="204" formatCode="€#,##0;[Red](€#,##0);&quot;–&quot;"/>
    <x:numFmt numFmtId="205" formatCode="0.0%;[Red](0.0%);&quot;–&quot;"/>
    <x:numFmt numFmtId="206" formatCode="#,##0.0"/>
    <x:numFmt numFmtId="207" formatCode="mmm-yy"/>
    <x:numFmt numFmtId="208" formatCode="#,##0.00;(#,##0.00);&quot;–&quot;"/>
    <x:numFmt numFmtId="209" formatCode="0.0%;(0.0%);&quot;–&quot;"/>
    <x:numFmt numFmtId="210" formatCode="#,##0;(#,##0);&quot;–&quot;"/>
    <x:numFmt numFmtId="211" formatCode="0.00;(0.00);&quot;–&quot;"/>
    <x:numFmt numFmtId="212" formatCode="0.00;(0.00);0.00"/>
  </x:numFmts>
  <x:fonts count="26">
    <x:font>
      <x:sz val="11"/>
      <x:name val="Carlito"/>
    </x:font>
    <x:font>
      <x:b/>
      <x:sz val="16"/>
      <x:color rgb="FF000000"/>
      <x:name val="Arial"/>
    </x:font>
    <x:font>
      <x:i/>
      <x:sz val="10"/>
      <x:color rgb="FF555555"/>
      <x:name val="Arial"/>
    </x:font>
    <x:font>
      <x:b/>
      <x:sz val="10"/>
      <x:color rgb="FFFFFFFF"/>
      <x:name val="Arial"/>
    </x:font>
    <x:font>
      <x:b/>
      <x:sz val="10"/>
      <x:name val="Arial"/>
    </x:font>
    <x:font>
      <x:b/>
      <x:sz val="12"/>
      <x:name val="Arial"/>
    </x:font>
    <x:font>
      <x:b/>
      <x:sz val="10"/>
      <x:color rgb="FF000000"/>
      <x:name val="Arial"/>
    </x:font>
    <x:font>
      <x:sz val="10"/>
      <x:color rgb="FF000000"/>
      <x:name val="Arial"/>
    </x:font>
    <x:font>
      <x:i/>
      <x:sz val="10"/>
      <x:color rgb="FF000000"/>
      <x:name val="Arial"/>
    </x:font>
    <x:font>
      <x:sz val="10"/>
      <x:color rgb="FF0000FF"/>
      <x:name val="Arial"/>
    </x:font>
    <x:font>
      <x:sz val="10"/>
      <x:color rgb="FF008000"/>
      <x:name val="Arial"/>
    </x:font>
    <x:font>
      <x:sz val="9"/>
      <x:color rgb="FF0000FF"/>
      <x:name val="Arial"/>
    </x:font>
    <x:font>
      <x:sz val="10"/>
      <x:name val="Arial"/>
    </x:font>
    <x:font>
      <x:b/>
      <x:sz val="14"/>
      <x:name val="Arial"/>
    </x:font>
    <x:font>
      <x:i/>
      <x:sz val="10"/>
      <x:name val="Arial"/>
    </x:font>
    <x:font>
      <x:sz val="10"/>
      <x:color rgb="FF20262C"/>
      <x:name val="Arial"/>
    </x:font>
    <x:font>
      <x:b/>
      <x:sz val="14"/>
      <x:color rgb="FF183E4C"/>
      <x:name val="Arial"/>
    </x:font>
    <x:font>
      <x:i/>
      <x:sz val="10"/>
      <x:color rgb="FF20262C"/>
      <x:name val="Arial"/>
    </x:font>
    <x:font>
      <x:i/>
      <x:sz val="10"/>
      <x:color rgb="FF73818A"/>
      <x:name val="Arial"/>
    </x:font>
    <x:font>
      <x:sz val="10"/>
      <x:color rgb="FF008040"/>
      <x:name val="Arial"/>
    </x:font>
    <x:font>
      <x:b/>
      <x:sz val="10"/>
      <x:color rgb="FF20262C"/>
      <x:name val="Arial"/>
    </x:font>
    <x:font>
      <x:b/>
      <x:sz val="10"/>
      <x:color rgb="FF0000FF"/>
      <x:name val="Arial"/>
    </x:font>
    <x:font>
      <x:b/>
      <x:sz val="10"/>
      <x:color rgb="FF008040"/>
      <x:name val="Arial"/>
    </x:font>
    <x:font>
      <x:sz val="10"/>
      <x:color rgb="FF59666E"/>
      <x:name val="Arial"/>
    </x:font>
    <x:font>
      <x:sz val="11"/>
      <x:color rgb="FF008040"/>
      <x:name val="Carlito"/>
    </x:font>
    <x:font>
      <x:sz val="11"/>
      <x:color rgb="FF20262C"/>
      <x:name val="Carlito"/>
    </x:font>
  </x:fonts>
  <x:fills count="14">
    <x:fill>
      <x:patternFill patternType="none"/>
    </x:fill>
    <x:fill>
      <x:patternFill patternType="gray125"/>
    </x:fill>
    <x:fill>
      <x:patternFill patternType="solid">
        <x:fgColor rgb="FF173A46"/>
      </x:patternFill>
    </x:fill>
    <x:fill>
      <x:patternFill patternType="solid">
        <x:fgColor rgb="FFDDEBF7"/>
      </x:patternFill>
    </x:fill>
    <x:fill>
      <x:patternFill patternType="solid">
        <x:fgColor rgb="FFE2F0D9"/>
      </x:patternFill>
    </x:fill>
    <x:fill>
      <x:patternFill patternType="solid">
        <x:fgColor rgb="FFFFF2CC"/>
      </x:patternFill>
    </x:fill>
    <x:fill>
      <x:patternFill patternType="solid">
        <x:fgColor rgb="FF183D48"/>
      </x:patternFill>
    </x:fill>
    <x:fill>
      <x:patternFill patternType="solid">
        <x:fgColor rgb="FFFFF2CC"/>
      </x:patternFill>
    </x:fill>
    <x:fill>
      <x:patternFill patternType="solid">
        <x:fgColor rgb="FFE6EFF3"/>
      </x:patternFill>
    </x:fill>
    <x:fill>
      <x:patternFill patternType="solid">
        <x:fgColor rgb="FFFFFFFF"/>
      </x:patternFill>
    </x:fill>
    <x:fill>
      <x:patternFill patternType="solid">
        <x:fgColor rgb="FFFFF7E5"/>
      </x:patternFill>
    </x:fill>
    <x:fill>
      <x:patternFill patternType="solid">
        <x:fgColor rgb="FFF0F7EA"/>
      </x:patternFill>
    </x:fill>
    <x:fill>
      <x:patternFill patternType="solid">
        <x:fgColor rgb="FF183E4C"/>
      </x:patternFill>
    </x:fill>
    <x:fill>
      <x:patternFill patternType="solid">
        <x:fgColor rgb="FFE7EFF3"/>
      </x:patternFill>
    </x:fill>
  </x:fills>
  <x:borders count="8">
    <x:border/>
    <x:border>
      <x:bottom style="thin">
        <x:color rgb="FF73878D"/>
      </x:bottom>
    </x:border>
    <x:border>
      <x:left style="thin">
        <x:color rgb="FFD9D9D9"/>
      </x:left>
      <x:right style="thin">
        <x:color rgb="FFD9D9D9"/>
      </x:right>
      <x:top style="thin">
        <x:color rgb="FFD9D9D9"/>
      </x:top>
      <x:bottom style="thin">
        <x:color rgb="FFD9D9D9"/>
      </x:bottom>
    </x:border>
    <x:border>
      <x:top style="double">
        <x:color rgb="FF000000"/>
      </x:top>
    </x:border>
    <x:border>
      <x:bottom style="thin">
        <x:color rgb="FFD9D9D9"/>
      </x:bottom>
    </x:border>
    <x:border>
      <x:top style="thin">
        <x:color rgb="FFD9D9D9"/>
      </x:top>
      <x:bottom style="thin">
        <x:color rgb="FFD9D9D9"/>
      </x:bottom>
    </x:border>
    <x:border>
      <x:top style="thin">
        <x:color rgb="FFD9D9D9"/>
      </x:top>
    </x:border>
    <x:border>
      <x:bottom style="thin">
        <x:color rgb="FFAABBC3"/>
      </x:bottom>
    </x:border>
  </x:borders>
  <x:cellStyleXfs count="1">
    <x:xf numFmtId="0" fontId="0" fillId="0" borderId="0"/>
  </x:cellStyleXfs>
  <x:cellXfs count="287">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0" fillId="0" borderId="2" xfId="0" applyNumberFormat="1" applyFont="1" applyFill="1" applyBorder="1"/>
    <x:xf numFmtId="0" fontId="5"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6" fillId="0" borderId="1" xfId="0" applyNumberFormat="1" applyFont="1" applyFill="1" applyBorder="1"/>
    <x:xf numFmtId="0" fontId="7" fillId="0" borderId="1" xfId="0" applyNumberFormat="1" applyFont="1" applyFill="1" applyBorder="1"/>
    <x:xf numFmtId="0" fontId="8" fillId="0" borderId="0" xfId="0" applyNumberFormat="1" applyFont="1" applyFill="1" applyBorder="1"/>
    <x:xf numFmtId="0" fontId="7" fillId="0" borderId="0" xfId="0" applyNumberFormat="1" applyFont="1" applyFill="1" applyBorder="1"/>
    <x:xf numFmtId="0" fontId="6" fillId="2" borderId="0" xfId="0" applyNumberFormat="1" applyFont="1" applyFill="1" applyBorder="1" applyAlignment="1">
      <x:alignment horizontal="center" vertical="center" wrapText="1"/>
    </x:xf>
    <x:xf numFmtId="0" fontId="6" fillId="0" borderId="2" xfId="0" applyNumberFormat="1" applyFont="1" applyFill="1" applyBorder="1"/>
    <x:xf numFmtId="0" fontId="7" fillId="0" borderId="2" xfId="0" applyNumberFormat="1" applyFont="1" applyFill="1" applyBorder="1"/>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1" xfId="0" applyNumberFormat="1" applyFont="1" applyFill="1" applyBorder="1" applyAlignment="1">
      <x:alignment vertical="center"/>
    </x:xf>
    <x:xf numFmtId="0" fontId="7" fillId="0" borderId="1" xfId="0" applyNumberFormat="1" applyFont="1" applyFill="1" applyBorder="1" applyAlignment="1">
      <x:alignment vertical="center"/>
    </x:xf>
    <x:xf numFmtId="0" fontId="8"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6" fillId="0" borderId="2" xfId="0" applyNumberFormat="1" applyFont="1" applyFill="1" applyBorder="1" applyAlignment="1">
      <x:alignment vertical="center"/>
    </x:xf>
    <x:xf numFmtId="0" fontId="7" fillId="0" borderId="2" xfId="0" applyNumberFormat="1" applyFont="1" applyFill="1" applyBorder="1" applyAlignment="1">
      <x:alignment vertical="center"/>
    </x:xf>
    <x:xf numFmtId="0" fontId="6" fillId="0"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4" fillId="0" borderId="3" xfId="0" applyNumberFormat="1" applyFont="1" applyFill="1" applyBorder="1"/>
    <x:xf numFmtId="200" fontId="0" fillId="0" borderId="0" xfId="0" applyNumberFormat="1" applyFont="1" applyFill="1" applyBorder="1"/>
    <x:xf numFmtId="200" fontId="4" fillId="0" borderId="3" xfId="0" applyNumberFormat="1" applyFont="1" applyFill="1" applyBorder="1"/>
    <x:xf numFmtId="0" fontId="9" fillId="0" borderId="0" xfId="0" applyNumberFormat="1" applyFont="1" applyFill="1" applyBorder="1"/>
    <x:xf numFmtId="200" fontId="9" fillId="0" borderId="0" xfId="0" applyNumberFormat="1" applyFont="1" applyFill="1" applyBorder="1"/>
    <x:xf numFmtId="200" fontId="7" fillId="0" borderId="0" xfId="0" applyNumberFormat="1" applyFont="1" applyFill="1" applyBorder="1"/>
    <x:xf numFmtId="0" fontId="6" fillId="0" borderId="3" xfId="0" applyNumberFormat="1" applyFont="1" applyFill="1" applyBorder="1"/>
    <x:xf numFmtId="200" fontId="6" fillId="0" borderId="3" xfId="0" applyNumberFormat="1" applyFont="1" applyFill="1" applyBorder="1"/>
    <x:xf numFmtId="200" fontId="7" fillId="0" borderId="0" xfId="0" applyNumberFormat="1" applyFont="1" applyFill="1" applyBorder="1" applyAlignment="1">
      <x:alignment vertical="center"/>
    </x:xf>
    <x:xf numFmtId="0" fontId="6" fillId="0" borderId="3" xfId="0" applyNumberFormat="1" applyFont="1" applyFill="1" applyBorder="1" applyAlignment="1">
      <x:alignment vertical="center"/>
    </x:xf>
    <x:xf numFmtId="200" fontId="6" fillId="0" borderId="3" xfId="0" applyNumberFormat="1" applyFont="1" applyFill="1" applyBorder="1" applyAlignment="1">
      <x:alignment vertical="center"/>
    </x:xf>
    <x:xf numFmtId="0" fontId="3" fillId="2" borderId="0" xfId="0" applyNumberFormat="1" applyFont="1" applyFill="1" applyBorder="1" applyAlignment="1">
      <x:alignment horizontal="left" vertical="center" wrapText="1"/>
    </x:xf>
    <x:xf numFmtId="201" fontId="0" fillId="0" borderId="0" xfId="0" applyNumberFormat="1" applyFont="1" applyFill="1" applyBorder="1"/>
    <x:xf numFmtId="0" fontId="0" fillId="3" borderId="0" xfId="0" applyNumberFormat="1" applyFont="1" applyFill="1" applyBorder="1"/>
    <x:xf numFmtId="200" fontId="0" fillId="3" borderId="0" xfId="0" applyNumberFormat="1" applyFont="1" applyFill="1" applyBorder="1"/>
    <x:xf numFmtId="201" fontId="0" fillId="3" borderId="0" xfId="0" applyNumberFormat="1" applyFont="1" applyFill="1" applyBorder="1"/>
    <x:xf numFmtId="0" fontId="0" fillId="4" borderId="0" xfId="0" applyNumberFormat="1" applyFont="1" applyFill="1" applyBorder="1"/>
    <x:xf numFmtId="200" fontId="0" fillId="4" borderId="0" xfId="0" applyNumberFormat="1" applyFont="1" applyFill="1" applyBorder="1"/>
    <x:xf numFmtId="201" fontId="0" fillId="4" borderId="0" xfId="0" applyNumberFormat="1" applyFont="1" applyFill="1" applyBorder="1"/>
    <x:xf numFmtId="200" fontId="10" fillId="0" borderId="0" xfId="0" applyNumberFormat="1" applyFont="1" applyFill="1" applyBorder="1"/>
    <x:xf numFmtId="0" fontId="6" fillId="2" borderId="0" xfId="0" applyNumberFormat="1" applyFont="1" applyFill="1" applyBorder="1" applyAlignment="1">
      <x:alignment horizontal="left" vertical="center" wrapText="1"/>
    </x:xf>
    <x:xf numFmtId="0" fontId="7" fillId="3" borderId="0" xfId="0" applyNumberFormat="1" applyFont="1" applyFill="1" applyBorder="1"/>
    <x:xf numFmtId="200" fontId="7" fillId="3" borderId="0" xfId="0" applyNumberFormat="1" applyFont="1" applyFill="1" applyBorder="1"/>
    <x:xf numFmtId="201" fontId="7" fillId="3" borderId="0" xfId="0" applyNumberFormat="1" applyFont="1" applyFill="1" applyBorder="1"/>
    <x:xf numFmtId="0" fontId="7" fillId="4" borderId="0" xfId="0" applyNumberFormat="1" applyFont="1" applyFill="1" applyBorder="1"/>
    <x:xf numFmtId="200" fontId="7" fillId="4" borderId="0" xfId="0" applyNumberFormat="1" applyFont="1" applyFill="1" applyBorder="1"/>
    <x:xf numFmtId="201" fontId="7" fillId="4" borderId="0" xfId="0" applyNumberFormat="1" applyFont="1" applyFill="1" applyBorder="1"/>
    <x:xf numFmtId="0" fontId="7" fillId="3" borderId="0" xfId="0" applyNumberFormat="1" applyFont="1" applyFill="1" applyBorder="1" applyAlignment="1">
      <x:alignment vertical="center"/>
    </x:xf>
    <x:xf numFmtId="200" fontId="7" fillId="3" borderId="0" xfId="0" applyNumberFormat="1" applyFont="1" applyFill="1" applyBorder="1" applyAlignment="1">
      <x:alignment vertical="center"/>
    </x:xf>
    <x:xf numFmtId="201" fontId="7" fillId="3" borderId="0" xfId="0" applyNumberFormat="1" applyFont="1" applyFill="1" applyBorder="1" applyAlignment="1">
      <x:alignment vertical="center"/>
    </x:xf>
    <x:xf numFmtId="0" fontId="7" fillId="4" borderId="0" xfId="0" applyNumberFormat="1" applyFont="1" applyFill="1" applyBorder="1" applyAlignment="1">
      <x:alignment vertical="center"/>
    </x:xf>
    <x:xf numFmtId="200" fontId="7" fillId="4" borderId="0" xfId="0" applyNumberFormat="1" applyFont="1" applyFill="1" applyBorder="1" applyAlignment="1">
      <x:alignment vertical="center"/>
    </x:xf>
    <x:xf numFmtId="201" fontId="7" fillId="4" borderId="0" xfId="0" applyNumberFormat="1" applyFont="1" applyFill="1" applyBorder="1" applyAlignment="1">
      <x:alignment vertical="center"/>
    </x:xf>
    <x:xf numFmtId="202" fontId="0" fillId="0" borderId="0" xfId="0" applyNumberFormat="1" applyFont="1" applyFill="1" applyBorder="1"/>
    <x:xf numFmtId="202" fontId="9" fillId="0" borderId="0" xfId="0" applyNumberFormat="1" applyFont="1" applyFill="1" applyBorder="1"/>
    <x:xf numFmtId="202" fontId="7" fillId="0" borderId="0" xfId="0" applyNumberFormat="1" applyFont="1" applyFill="1" applyBorder="1"/>
    <x:xf numFmtId="202" fontId="7" fillId="0" borderId="0" xfId="0" applyNumberFormat="1" applyFont="1" applyFill="1" applyBorder="1" applyAlignment="1">
      <x:alignment vertical="center"/>
    </x:xf>
    <x:xf numFmtId="203" fontId="0" fillId="0" borderId="0" xfId="0" applyNumberFormat="1" applyFont="1" applyFill="1" applyBorder="1"/>
    <x:xf numFmtId="203" fontId="7" fillId="0" borderId="0" xfId="0" applyNumberFormat="1" applyFont="1" applyFill="1" applyBorder="1"/>
    <x:xf numFmtId="203" fontId="7" fillId="0" borderId="0" xfId="0" applyNumberFormat="1" applyFont="1" applyFill="1" applyBorder="1" applyAlignment="1">
      <x:alignment vertical="center"/>
    </x:xf>
    <x:xf numFmtId="0" fontId="4" fillId="3" borderId="0" xfId="0" applyNumberFormat="1" applyFont="1" applyFill="1" applyBorder="1"/>
    <x:xf numFmtId="200" fontId="4" fillId="3" borderId="0" xfId="0" applyNumberFormat="1" applyFont="1" applyFill="1" applyBorder="1"/>
    <x:xf numFmtId="201" fontId="4" fillId="3" borderId="0" xfId="0" applyNumberFormat="1" applyFont="1" applyFill="1" applyBorder="1"/>
    <x:xf numFmtId="0" fontId="6" fillId="3" borderId="0" xfId="0" applyNumberFormat="1" applyFont="1" applyFill="1" applyBorder="1"/>
    <x:xf numFmtId="200" fontId="6" fillId="3" borderId="0" xfId="0" applyNumberFormat="1" applyFont="1" applyFill="1" applyBorder="1"/>
    <x:xf numFmtId="201" fontId="6" fillId="3" borderId="0" xfId="0" applyNumberFormat="1" applyFont="1" applyFill="1" applyBorder="1"/>
    <x:xf numFmtId="0" fontId="6" fillId="3" borderId="0" xfId="0" applyNumberFormat="1" applyFont="1" applyFill="1" applyBorder="1" applyAlignment="1">
      <x:alignment vertical="center"/>
    </x:xf>
    <x:xf numFmtId="200" fontId="6" fillId="3" borderId="0" xfId="0" applyNumberFormat="1" applyFont="1" applyFill="1" applyBorder="1" applyAlignment="1">
      <x:alignment vertical="center"/>
    </x:xf>
    <x:xf numFmtId="201" fontId="6" fillId="3" borderId="0" xfId="0" applyNumberFormat="1" applyFont="1" applyFill="1" applyBorder="1" applyAlignment="1">
      <x:alignment vertical="center"/>
    </x:xf>
    <x:xf numFmtId="202" fontId="4" fillId="3" borderId="0" xfId="0" applyNumberFormat="1" applyFont="1" applyFill="1" applyBorder="1"/>
    <x:xf numFmtId="0" fontId="11" fillId="0" borderId="0" xfId="0" applyNumberFormat="1" applyFont="1" applyFill="1" applyBorder="1"/>
    <x:xf numFmtId="201" fontId="7" fillId="0" borderId="0" xfId="0" applyNumberFormat="1" applyFont="1" applyFill="1" applyBorder="1"/>
    <x:xf numFmtId="202" fontId="6" fillId="3" borderId="0" xfId="0" applyNumberFormat="1" applyFont="1" applyFill="1" applyBorder="1"/>
    <x:xf numFmtId="201" fontId="7" fillId="0" borderId="0" xfId="0" applyNumberFormat="1" applyFont="1" applyFill="1" applyBorder="1" applyAlignment="1">
      <x:alignment vertical="center"/>
    </x:xf>
    <x:xf numFmtId="202" fontId="6" fillId="3" borderId="0" xfId="0" applyNumberFormat="1" applyFont="1" applyFill="1" applyBorder="1" applyAlignment="1">
      <x:alignment vertical="center"/>
    </x:xf>
    <x:xf numFmtId="0" fontId="0" fillId="5" borderId="0" xfId="0" applyNumberFormat="1" applyFont="1" applyFill="1" applyBorder="1"/>
    <x:xf numFmtId="0" fontId="0" fillId="5" borderId="2" xfId="0" applyNumberFormat="1" applyFont="1" applyFill="1" applyBorder="1"/>
    <x:xf numFmtId="0" fontId="0" fillId="5" borderId="2" xfId="0" applyNumberFormat="1" applyFont="1" applyFill="1" applyBorder="1" applyAlignment="1">
      <x:alignment wrapText="1"/>
    </x:xf>
    <x:xf numFmtId="0" fontId="7" fillId="5" borderId="2" xfId="0" applyNumberFormat="1" applyFont="1" applyFill="1" applyBorder="1"/>
    <x:xf numFmtId="0" fontId="7" fillId="5" borderId="2" xfId="0" applyNumberFormat="1" applyFont="1" applyFill="1" applyBorder="1" applyAlignment="1">
      <x:alignment wrapText="1"/>
    </x:xf>
    <x:xf numFmtId="0" fontId="7" fillId="5" borderId="2" xfId="0" applyNumberFormat="1" applyFont="1" applyFill="1" applyBorder="1" applyAlignment="1">
      <x:alignment vertical="center"/>
    </x:xf>
    <x:xf numFmtId="0" fontId="7" fillId="5" borderId="2" xfId="0" applyNumberFormat="1" applyFont="1" applyFill="1" applyBorder="1" applyAlignment="1">
      <x:alignment vertical="center" wrapText="1"/>
    </x:xf>
    <x:xf numFmtId="200" fontId="0" fillId="5" borderId="2" xfId="0" applyNumberFormat="1" applyFont="1" applyFill="1" applyBorder="1"/>
    <x:xf numFmtId="201" fontId="0" fillId="5" borderId="2" xfId="0" applyNumberFormat="1" applyFont="1" applyFill="1" applyBorder="1"/>
    <x:xf numFmtId="202" fontId="0" fillId="5" borderId="2" xfId="0" applyNumberFormat="1" applyFont="1" applyFill="1" applyBorder="1"/>
    <x:xf numFmtId="200" fontId="7" fillId="5" borderId="2" xfId="0" applyNumberFormat="1" applyFont="1" applyFill="1" applyBorder="1"/>
    <x:xf numFmtId="201" fontId="7" fillId="5" borderId="2" xfId="0" applyNumberFormat="1" applyFont="1" applyFill="1" applyBorder="1"/>
    <x:xf numFmtId="202" fontId="7" fillId="5" borderId="2" xfId="0" applyNumberFormat="1" applyFont="1" applyFill="1" applyBorder="1"/>
    <x:xf numFmtId="200" fontId="7" fillId="5" borderId="2" xfId="0" applyNumberFormat="1" applyFont="1" applyFill="1" applyBorder="1" applyAlignment="1">
      <x:alignment vertical="center"/>
    </x:xf>
    <x:xf numFmtId="201" fontId="7" fillId="5" borderId="2" xfId="0" applyNumberFormat="1" applyFont="1" applyFill="1" applyBorder="1" applyAlignment="1">
      <x:alignment vertical="center"/>
    </x:xf>
    <x:xf numFmtId="202" fontId="7" fillId="5" borderId="2" xfId="0" applyNumberFormat="1" applyFont="1" applyFill="1" applyBorder="1" applyAlignment="1">
      <x:alignment vertical="center"/>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center" wrapText="1"/>
    </x:xf>
    <x:xf numFmtId="0" fontId="13" fillId="0" borderId="0" xfId="0" applyNumberFormat="1" applyFont="1" applyFill="1" applyBorder="1"/>
    <x:xf numFmtId="0" fontId="14" fillId="0" borderId="0" xfId="0" applyNumberFormat="1" applyFont="1" applyFill="1" applyBorder="1"/>
    <x:xf numFmtId="0" fontId="12" fillId="6" borderId="0" xfId="0" applyNumberFormat="1" applyFont="1" applyFill="1" applyBorder="1"/>
    <x:xf numFmtId="0" fontId="3" fillId="6" borderId="0" xfId="0" applyNumberFormat="1" applyFont="1" applyFill="1" applyBorder="1"/>
    <x:xf numFmtId="0" fontId="12" fillId="7" borderId="0" xfId="0" applyNumberFormat="1" applyFont="1" applyFill="1" applyBorder="1"/>
    <x:xf numFmtId="0" fontId="3" fillId="6" borderId="4" xfId="0" applyNumberFormat="1" applyFont="1" applyFill="1" applyBorder="1"/>
    <x:xf numFmtId="0" fontId="12" fillId="0" borderId="5" xfId="0" applyNumberFormat="1" applyFont="1" applyFill="1" applyBorder="1"/>
    <x:xf numFmtId="0" fontId="12" fillId="7" borderId="5" xfId="0" applyNumberFormat="1" applyFont="1" applyFill="1" applyBorder="1"/>
    <x:xf numFmtId="0" fontId="12" fillId="0" borderId="6" xfId="0" applyNumberFormat="1" applyFont="1" applyFill="1" applyBorder="1"/>
    <x:xf numFmtId="0" fontId="12" fillId="7" borderId="6" xfId="0" applyNumberFormat="1" applyFont="1" applyFill="1" applyBorder="1"/>
    <x:xf numFmtId="204" fontId="7" fillId="5" borderId="2" xfId="0" applyNumberFormat="1" applyFont="1" applyFill="1" applyBorder="1" applyAlignment="1">
      <x:alignment vertical="center"/>
    </x:xf>
    <x:xf numFmtId="205" fontId="7" fillId="5" borderId="2" xfId="0" applyNumberFormat="1" applyFont="1" applyFill="1" applyBorder="1" applyAlignment="1">
      <x:alignment vertical="center"/>
    </x:xf>
    <x:xf numFmtId="206" fontId="7" fillId="5" borderId="2" xfId="0" applyNumberFormat="1" applyFont="1" applyFill="1" applyBorder="1" applyAlignment="1">
      <x:alignment vertical="center"/>
    </x:xf>
    <x:xf numFmtId="204" fontId="7" fillId="8" borderId="2" xfId="0" applyNumberFormat="1" applyFont="1" applyFill="1" applyBorder="1" applyAlignment="1">
      <x:alignment vertical="center"/>
    </x:xf>
    <x:xf numFmtId="205" fontId="7" fillId="8" borderId="2" xfId="0" applyNumberFormat="1" applyFont="1" applyFill="1" applyBorder="1" applyAlignment="1">
      <x:alignment vertical="center"/>
    </x:xf>
    <x:xf numFmtId="204" fontId="9" fillId="5" borderId="2" xfId="0" applyNumberFormat="1" applyFont="1" applyFill="1" applyBorder="1" applyAlignment="1">
      <x:alignment vertical="center"/>
    </x:xf>
    <x:xf numFmtId="206" fontId="9" fillId="5" borderId="2" xfId="0" applyNumberFormat="1" applyFont="1" applyFill="1" applyBorder="1" applyAlignment="1">
      <x:alignment vertical="center"/>
    </x:xf>
    <x:xf numFmtId="206" fontId="7" fillId="8" borderId="2" xfId="0" applyNumberFormat="1" applyFont="1" applyFill="1" applyBorder="1" applyAlignment="1">
      <x:alignment vertical="center"/>
    </x:xf>
    <x:xf numFmtId="204" fontId="12" fillId="7" borderId="5" xfId="0" applyNumberFormat="1" applyFont="1" applyFill="1" applyBorder="1"/>
    <x:xf numFmtId="204" fontId="12" fillId="0" borderId="5" xfId="0" applyNumberFormat="1" applyFont="1" applyFill="1" applyBorder="1"/>
    <x:xf numFmtId="205" fontId="12" fillId="7" borderId="5" xfId="0" applyNumberFormat="1" applyFont="1" applyFill="1" applyBorder="1"/>
    <x:xf numFmtId="205" fontId="12" fillId="0" borderId="5" xfId="0" applyNumberFormat="1" applyFont="1" applyFill="1" applyBorder="1"/>
    <x:xf numFmtId="206" fontId="12" fillId="7" borderId="5" xfId="0" applyNumberFormat="1" applyFont="1" applyFill="1" applyBorder="1"/>
    <x:xf numFmtId="206" fontId="12" fillId="0" borderId="5" xfId="0" applyNumberFormat="1" applyFont="1" applyFill="1" applyBorder="1"/>
    <x:xf numFmtId="206" fontId="12" fillId="7" borderId="6" xfId="0" applyNumberFormat="1" applyFont="1" applyFill="1" applyBorder="1"/>
    <x:xf numFmtId="206" fontId="12" fillId="0" borderId="6" xfId="0" applyNumberFormat="1" applyFont="1" applyFill="1" applyBorder="1"/>
    <x:xf numFmtId="204" fontId="12" fillId="8" borderId="5" xfId="0" applyNumberFormat="1" applyFont="1" applyFill="1" applyBorder="1"/>
    <x:xf numFmtId="204" fontId="7" fillId="8" borderId="5" xfId="0" applyNumberFormat="1" applyFont="1" applyFill="1" applyBorder="1"/>
    <x:xf numFmtId="205" fontId="12" fillId="8" borderId="5" xfId="0" applyNumberFormat="1" applyFont="1" applyFill="1" applyBorder="1"/>
    <x:xf numFmtId="205" fontId="7" fillId="8" borderId="5" xfId="0" applyNumberFormat="1" applyFont="1" applyFill="1" applyBorder="1"/>
    <x:xf numFmtId="204" fontId="9" fillId="7" borderId="5" xfId="0" applyNumberFormat="1" applyFont="1" applyFill="1" applyBorder="1"/>
    <x:xf numFmtId="206" fontId="9" fillId="7" borderId="5" xfId="0" applyNumberFormat="1" applyFont="1" applyFill="1" applyBorder="1"/>
    <x:xf numFmtId="206" fontId="9" fillId="7" borderId="6" xfId="0" applyNumberFormat="1" applyFont="1" applyFill="1" applyBorder="1"/>
    <x:xf numFmtId="206" fontId="12" fillId="8" borderId="5" xfId="0" applyNumberFormat="1" applyFont="1" applyFill="1" applyBorder="1"/>
    <x:xf numFmtId="206" fontId="12" fillId="8" borderId="6" xfId="0" applyNumberFormat="1" applyFont="1" applyFill="1" applyBorder="1"/>
    <x:xf numFmtId="204" fontId="7" fillId="5" borderId="2" xfId="0" applyNumberFormat="1" applyFont="1" applyFill="1" applyBorder="1" applyAlignment="1">
      <x:alignment vertical="center" wrapText="1"/>
    </x:xf>
    <x:xf numFmtId="204" fontId="7" fillId="8" borderId="2" xfId="0" applyNumberFormat="1" applyFont="1" applyFill="1" applyBorder="1" applyAlignment="1">
      <x:alignment vertical="center" wrapText="1"/>
    </x:xf>
    <x:xf numFmtId="0" fontId="12" fillId="9" borderId="0" xfId="0" applyNumberFormat="1" applyFont="1" applyFill="1" applyBorder="1"/>
    <x:xf numFmtId="0" fontId="12" fillId="10" borderId="0" xfId="0" applyNumberFormat="1" applyFont="1" applyFill="1" applyBorder="1"/>
    <x:xf numFmtId="0" fontId="12" fillId="11" borderId="0" xfId="0" applyNumberFormat="1" applyFont="1" applyFill="1" applyBorder="1"/>
    <x:xf numFmtId="204" fontId="12" fillId="9" borderId="0" xfId="0" applyNumberFormat="1" applyFont="1" applyFill="1" applyBorder="1"/>
    <x:xf numFmtId="204" fontId="12" fillId="10" borderId="0" xfId="0" applyNumberFormat="1" applyFont="1" applyFill="1" applyBorder="1"/>
    <x:xf numFmtId="204" fontId="12" fillId="11" borderId="0" xfId="0" applyNumberFormat="1" applyFont="1" applyFill="1" applyBorder="1"/>
    <x:xf numFmtId="204" fontId="12" fillId="0" borderId="0" xfId="0" applyNumberFormat="1" applyFont="1" applyFill="1" applyBorder="1"/>
    <x:xf numFmtId="0" fontId="4" fillId="9" borderId="0" xfId="0" applyNumberFormat="1" applyFont="1" applyFill="1" applyBorder="1"/>
    <x:xf numFmtId="204" fontId="4" fillId="9" borderId="0" xfId="0" applyNumberFormat="1" applyFont="1" applyFill="1" applyBorder="1"/>
    <x:xf numFmtId="0" fontId="4" fillId="10" borderId="0" xfId="0" applyNumberFormat="1" applyFont="1" applyFill="1" applyBorder="1"/>
    <x:xf numFmtId="204" fontId="4" fillId="10" borderId="0" xfId="0" applyNumberFormat="1" applyFont="1" applyFill="1" applyBorder="1"/>
    <x:xf numFmtId="0" fontId="4" fillId="11" borderId="0" xfId="0" applyNumberFormat="1" applyFont="1" applyFill="1" applyBorder="1"/>
    <x:xf numFmtId="204" fontId="4" fillId="11" borderId="0" xfId="0" applyNumberFormat="1" applyFont="1" applyFill="1" applyBorder="1"/>
    <x:xf numFmtId="204" fontId="4" fillId="0" borderId="0" xfId="0" applyNumberFormat="1" applyFont="1" applyFill="1" applyBorder="1"/>
    <x:xf numFmtId="0" fontId="12" fillId="9" borderId="0" xfId="0" applyNumberFormat="1" applyFont="1" applyFill="1" applyBorder="1" applyAlignment="1">
      <x:alignment wrapText="1"/>
    </x:xf>
    <x:xf numFmtId="0" fontId="12" fillId="10" borderId="0" xfId="0" applyNumberFormat="1" applyFont="1" applyFill="1" applyBorder="1" applyAlignment="1">
      <x:alignment wrapText="1"/>
    </x:xf>
    <x:xf numFmtId="0" fontId="12" fillId="11" borderId="0" xfId="0" applyNumberFormat="1" applyFont="1" applyFill="1" applyBorder="1" applyAlignment="1">
      <x:alignment wrapText="1"/>
    </x:xf>
    <x:xf numFmtId="0" fontId="4" fillId="9" borderId="0" xfId="0" applyNumberFormat="1" applyFont="1" applyFill="1" applyBorder="1" applyAlignment="1">
      <x:alignment wrapText="1"/>
    </x:xf>
    <x:xf numFmtId="0" fontId="4" fillId="10" borderId="0" xfId="0" applyNumberFormat="1" applyFont="1" applyFill="1" applyBorder="1" applyAlignment="1">
      <x:alignment wrapText="1"/>
    </x:xf>
    <x:xf numFmtId="0" fontId="4" fillId="11" borderId="0" xfId="0" applyNumberFormat="1" applyFont="1" applyFill="1" applyBorder="1" applyAlignment="1">
      <x:alignment wrapText="1"/>
    </x:xf>
    <x:xf numFmtId="0" fontId="15" fillId="0" borderId="0" xfId="0" applyNumberFormat="1" applyFont="1" applyFill="1" applyBorder="1"/>
    <x:xf numFmtId="0" fontId="15" fillId="0" borderId="0" xfId="0" applyNumberFormat="1" applyFont="1" applyFill="1" applyBorder="1" applyAlignment="1">
      <x:alignment vertical="center"/>
    </x:xf>
    <x:xf numFmtId="0" fontId="16" fillId="0" borderId="0" xfId="0" applyNumberFormat="1" applyFont="1" applyFill="1" applyBorder="1" applyAlignment="1">
      <x:alignment vertical="center"/>
    </x:xf>
    <x:xf numFmtId="0" fontId="16" fillId="0" borderId="7" xfId="0" applyNumberFormat="1" applyFont="1" applyFill="1" applyBorder="1" applyAlignment="1">
      <x:alignment vertical="center"/>
    </x:xf>
    <x:xf numFmtId="0" fontId="15" fillId="0" borderId="7" xfId="0" applyNumberFormat="1" applyFont="1" applyFill="1" applyBorder="1" applyAlignment="1">
      <x:alignment vertical="center"/>
    </x:xf>
    <x:xf numFmtId="0" fontId="17" fillId="0" borderId="0" xfId="0" applyNumberFormat="1" applyFont="1" applyFill="1" applyBorder="1" applyAlignment="1">
      <x:alignment vertical="center"/>
    </x:xf>
    <x:xf numFmtId="0" fontId="15" fillId="12" borderId="0" xfId="0" applyNumberFormat="1" applyFont="1" applyFill="1" applyBorder="1" applyAlignment="1">
      <x:alignment vertical="center"/>
    </x:xf>
    <x:xf numFmtId="0" fontId="3" fillId="12" borderId="0" xfId="0" applyNumberFormat="1" applyFont="1" applyFill="1" applyBorder="1" applyAlignment="1">
      <x:alignment vertical="center"/>
    </x:xf>
    <x:xf numFmtId="0" fontId="3" fillId="12" borderId="0" xfId="0" applyNumberFormat="1" applyFont="1" applyFill="1" applyBorder="1" applyAlignment="1">
      <x:alignment horizontal="center" vertical="center"/>
    </x:xf>
    <x:xf numFmtId="207" fontId="15" fillId="0" borderId="0" xfId="0" applyNumberFormat="1" applyFont="1" applyFill="1" applyBorder="1" applyAlignment="1">
      <x:alignment vertical="center"/>
    </x:xf>
    <x:xf numFmtId="207" fontId="18" fillId="0" borderId="0" xfId="0" applyNumberFormat="1" applyFont="1" applyFill="1" applyBorder="1" applyAlignment="1">
      <x:alignment vertical="center"/>
    </x:xf>
    <x:xf numFmtId="208" fontId="15" fillId="0" borderId="0" xfId="0" applyNumberFormat="1" applyFont="1" applyFill="1" applyBorder="1" applyAlignment="1">
      <x:alignment vertical="center"/>
    </x:xf>
    <x:xf numFmtId="208" fontId="19" fillId="0" borderId="0" xfId="0" applyNumberFormat="1" applyFont="1" applyFill="1" applyBorder="1" applyAlignment="1">
      <x:alignment vertical="center"/>
    </x:xf>
    <x:xf numFmtId="208" fontId="9" fillId="0" borderId="0" xfId="0" applyNumberFormat="1" applyFont="1" applyFill="1" applyBorder="1" applyAlignment="1">
      <x:alignment vertical="center"/>
    </x:xf>
    <x:xf numFmtId="209" fontId="9" fillId="0" borderId="0" xfId="0" applyNumberFormat="1" applyFont="1" applyFill="1" applyBorder="1" applyAlignment="1">
      <x:alignment vertical="center"/>
    </x:xf>
    <x:xf numFmtId="210" fontId="9" fillId="0" borderId="0" xfId="0" applyNumberFormat="1" applyFont="1" applyFill="1" applyBorder="1" applyAlignment="1">
      <x:alignment vertical="center"/>
    </x:xf>
    <x:xf numFmtId="210" fontId="15" fillId="0" borderId="0" xfId="0" applyNumberFormat="1" applyFont="1" applyFill="1" applyBorder="1" applyAlignment="1">
      <x:alignment vertical="center"/>
    </x:xf>
    <x:xf numFmtId="0" fontId="15" fillId="13" borderId="0" xfId="0" applyNumberFormat="1" applyFont="1" applyFill="1" applyBorder="1" applyAlignment="1">
      <x:alignment vertical="center"/>
    </x:xf>
    <x:xf numFmtId="208" fontId="9" fillId="13" borderId="0" xfId="0" applyNumberFormat="1" applyFont="1" applyFill="1" applyBorder="1" applyAlignment="1">
      <x:alignment vertical="center"/>
    </x:xf>
    <x:xf numFmtId="208" fontId="15" fillId="13" borderId="0" xfId="0" applyNumberFormat="1" applyFont="1" applyFill="1" applyBorder="1" applyAlignment="1">
      <x:alignment vertical="center"/>
    </x:xf>
    <x:xf numFmtId="0" fontId="20" fillId="13" borderId="0" xfId="0" applyNumberFormat="1" applyFont="1" applyFill="1" applyBorder="1" applyAlignment="1">
      <x:alignment vertical="center"/>
    </x:xf>
    <x:xf numFmtId="208" fontId="21" fillId="13" borderId="0" xfId="0" applyNumberFormat="1" applyFont="1" applyFill="1" applyBorder="1" applyAlignment="1">
      <x:alignment vertical="center"/>
    </x:xf>
    <x:xf numFmtId="208" fontId="20" fillId="13" borderId="0" xfId="0" applyNumberFormat="1" applyFont="1" applyFill="1" applyBorder="1" applyAlignment="1">
      <x:alignment vertical="center"/>
    </x:xf>
    <x:xf numFmtId="208" fontId="19" fillId="13" borderId="0" xfId="0" applyNumberFormat="1" applyFont="1" applyFill="1" applyBorder="1" applyAlignment="1">
      <x:alignment vertical="center"/>
    </x:xf>
    <x:xf numFmtId="208" fontId="22" fillId="13" borderId="0" xfId="0" applyNumberFormat="1" applyFont="1" applyFill="1" applyBorder="1" applyAlignment="1">
      <x:alignment vertical="center"/>
    </x:xf>
    <x:xf numFmtId="0" fontId="23" fillId="0" borderId="0" xfId="0" applyNumberFormat="1" applyFont="1" applyFill="1" applyBorder="1" applyAlignment="1">
      <x:alignment vertical="center"/>
    </x:xf>
    <x:xf numFmtId="208" fontId="15" fillId="12" borderId="0" xfId="0" applyNumberFormat="1" applyFont="1" applyFill="1" applyBorder="1" applyAlignment="1">
      <x:alignment vertical="center"/>
    </x:xf>
    <x:xf numFmtId="208" fontId="3" fillId="12" borderId="0" xfId="0" applyNumberFormat="1" applyFont="1" applyFill="1" applyBorder="1" applyAlignment="1">
      <x:alignment vertical="center"/>
    </x:xf>
    <x:xf numFmtId="209" fontId="19" fillId="0" borderId="0" xfId="0" applyNumberFormat="1" applyFont="1" applyFill="1" applyBorder="1" applyAlignment="1">
      <x:alignment vertical="center"/>
    </x:xf>
    <x:xf numFmtId="209" fontId="15" fillId="0" borderId="0" xfId="0" applyNumberFormat="1" applyFont="1" applyFill="1" applyBorder="1" applyAlignment="1">
      <x:alignment vertical="center"/>
    </x:xf>
    <x:xf numFmtId="211" fontId="9" fillId="0" borderId="0" xfId="0" applyNumberFormat="1" applyFont="1" applyFill="1" applyBorder="1" applyAlignment="1">
      <x:alignment vertical="center"/>
    </x:xf>
    <x:xf numFmtId="211" fontId="19" fillId="0" borderId="0" xfId="0" applyNumberFormat="1" applyFont="1" applyFill="1" applyBorder="1" applyAlignment="1">
      <x:alignment vertical="center"/>
    </x:xf>
    <x:xf numFmtId="211" fontId="15" fillId="0" borderId="0" xfId="0" applyNumberFormat="1" applyFont="1" applyFill="1" applyBorder="1" applyAlignment="1">
      <x:alignment vertical="center"/>
    </x:xf>
    <x:xf numFmtId="210" fontId="19" fillId="0" borderId="0" xfId="0" applyNumberFormat="1" applyFont="1" applyFill="1" applyBorder="1" applyAlignment="1">
      <x:alignment vertical="center"/>
    </x:xf>
    <x:xf numFmtId="211" fontId="22" fillId="13" borderId="0" xfId="0" applyNumberFormat="1" applyFont="1" applyFill="1" applyBorder="1" applyAlignment="1">
      <x:alignment vertical="center"/>
    </x:xf>
    <x:xf numFmtId="211" fontId="20" fillId="13" borderId="0" xfId="0" applyNumberFormat="1" applyFont="1" applyFill="1" applyBorder="1" applyAlignment="1">
      <x:alignment vertical="center"/>
    </x:xf>
    <x:xf numFmtId="210" fontId="22" fillId="13" borderId="0" xfId="0" applyNumberFormat="1" applyFont="1" applyFill="1" applyBorder="1" applyAlignment="1">
      <x:alignment vertical="center"/>
    </x:xf>
    <x:xf numFmtId="210" fontId="20" fillId="13" borderId="0" xfId="0" applyNumberFormat="1" applyFont="1" applyFill="1" applyBorder="1" applyAlignment="1">
      <x:alignment vertical="center"/>
    </x:xf>
    <x:xf numFmtId="0" fontId="3" fillId="12" borderId="0" xfId="0" applyNumberFormat="1" applyFont="1" applyFill="1" applyBorder="1" applyAlignment="1">
      <x:alignment vertical="center" wrapText="1"/>
    </x:xf>
    <x:xf numFmtId="0" fontId="3" fillId="12" borderId="0" xfId="0" applyNumberFormat="1" applyFont="1" applyFill="1" applyBorder="1" applyAlignment="1">
      <x:alignment horizontal="center" vertical="center" wrapText="1"/>
    </x:xf>
    <x:xf numFmtId="0" fontId="19" fillId="0" borderId="0" xfId="0" applyNumberFormat="1" applyFont="1" applyFill="1" applyBorder="1" applyAlignment="1">
      <x:alignment vertical="center"/>
    </x:xf>
    <x:xf numFmtId="208" fontId="3" fillId="12" borderId="0" xfId="0" applyNumberFormat="1" applyFont="1" applyFill="1" applyBorder="1" applyAlignment="1">
      <x:alignment horizontal="center" vertical="center" wrapText="1"/>
    </x:xf>
    <x:xf numFmtId="209" fontId="20" fillId="13" borderId="0" xfId="0" applyNumberFormat="1" applyFont="1" applyFill="1" applyBorder="1" applyAlignment="1">
      <x:alignment vertical="center"/>
    </x:xf>
    <x:xf numFmtId="209" fontId="15" fillId="13" borderId="0" xfId="0" applyNumberFormat="1" applyFont="1" applyFill="1" applyBorder="1" applyAlignment="1">
      <x:alignment vertical="center"/>
    </x:xf>
    <x:xf numFmtId="209" fontId="3" fillId="12" borderId="0" xfId="0" applyNumberFormat="1" applyFont="1" applyFill="1" applyBorder="1" applyAlignment="1">
      <x:alignment horizontal="center" vertical="center" wrapText="1"/>
    </x:xf>
    <x:xf numFmtId="210" fontId="15" fillId="13" borderId="0" xfId="0" applyNumberFormat="1" applyFont="1" applyFill="1" applyBorder="1" applyAlignment="1">
      <x:alignment vertical="center"/>
    </x:xf>
    <x:xf numFmtId="210" fontId="3" fillId="12" borderId="0" xfId="0" applyNumberFormat="1" applyFont="1" applyFill="1" applyBorder="1" applyAlignment="1">
      <x:alignment horizontal="center" vertical="center" wrapText="1"/>
    </x:xf>
    <x:xf numFmtId="204" fontId="19" fillId="5" borderId="2" xfId="0" applyNumberFormat="1" applyFont="1" applyFill="1" applyBorder="1" applyAlignment="1">
      <x:alignment vertical="center"/>
    </x:xf>
    <x:xf numFmtId="206" fontId="19" fillId="5" borderId="2" xfId="0" applyNumberFormat="1" applyFont="1" applyFill="1" applyBorder="1" applyAlignment="1">
      <x:alignment vertical="center"/>
    </x:xf>
    <x:xf numFmtId="208" fontId="19" fillId="5" borderId="2" xfId="0" applyNumberFormat="1" applyFont="1" applyFill="1" applyBorder="1" applyAlignment="1">
      <x:alignment vertical="center"/>
    </x:xf>
    <x:xf numFmtId="208" fontId="7" fillId="8" borderId="2" xfId="0" applyNumberFormat="1" applyFont="1" applyFill="1" applyBorder="1" applyAlignment="1">
      <x:alignment vertical="center"/>
    </x:xf>
    <x:xf numFmtId="209" fontId="7" fillId="8" borderId="2" xfId="0" applyNumberFormat="1" applyFont="1" applyFill="1" applyBorder="1" applyAlignment="1">
      <x:alignment vertical="center"/>
    </x:xf>
    <x:xf numFmtId="211" fontId="19" fillId="5" borderId="2" xfId="0" applyNumberFormat="1" applyFont="1" applyFill="1" applyBorder="1" applyAlignment="1">
      <x:alignment vertical="center"/>
    </x:xf>
    <x:xf numFmtId="211" fontId="7" fillId="8" borderId="2" xfId="0" applyNumberFormat="1" applyFont="1" applyFill="1" applyBorder="1" applyAlignment="1">
      <x:alignment vertical="center"/>
    </x:xf>
    <x:xf numFmtId="210" fontId="19" fillId="5" borderId="2" xfId="0" applyNumberFormat="1" applyFont="1" applyFill="1" applyBorder="1" applyAlignment="1">
      <x:alignment vertical="center"/>
    </x:xf>
    <x:xf numFmtId="210" fontId="7" fillId="8" borderId="2" xfId="0" applyNumberFormat="1" applyFont="1" applyFill="1" applyBorder="1" applyAlignment="1">
      <x:alignment vertical="center"/>
    </x:xf>
    <x:xf numFmtId="208" fontId="15" fillId="5" borderId="2" xfId="0" applyNumberFormat="1" applyFont="1" applyFill="1" applyBorder="1" applyAlignment="1">
      <x:alignment vertical="center"/>
    </x:xf>
    <x:xf numFmtId="208" fontId="15" fillId="8" borderId="2" xfId="0" applyNumberFormat="1" applyFont="1" applyFill="1" applyBorder="1" applyAlignment="1">
      <x:alignment vertical="center"/>
    </x:xf>
    <x:xf numFmtId="209" fontId="15" fillId="8" borderId="2" xfId="0" applyNumberFormat="1" applyFont="1" applyFill="1" applyBorder="1" applyAlignment="1">
      <x:alignment vertical="center"/>
    </x:xf>
    <x:xf numFmtId="211" fontId="15" fillId="5" borderId="2" xfId="0" applyNumberFormat="1" applyFont="1" applyFill="1" applyBorder="1" applyAlignment="1">
      <x:alignment vertical="center"/>
    </x:xf>
    <x:xf numFmtId="211" fontId="15" fillId="8" borderId="2" xfId="0" applyNumberFormat="1" applyFont="1" applyFill="1" applyBorder="1" applyAlignment="1">
      <x:alignment vertical="center"/>
    </x:xf>
    <x:xf numFmtId="210" fontId="15" fillId="5" borderId="2" xfId="0" applyNumberFormat="1" applyFont="1" applyFill="1" applyBorder="1" applyAlignment="1">
      <x:alignment vertical="center"/>
    </x:xf>
    <x:xf numFmtId="210" fontId="15" fillId="8" borderId="2" xfId="0" applyNumberFormat="1" applyFont="1" applyFill="1" applyBorder="1" applyAlignment="1">
      <x:alignment vertical="center"/>
    </x:xf>
    <x:xf numFmtId="0" fontId="7" fillId="0" borderId="0" xfId="0" applyNumberFormat="1" applyFont="1" applyFill="1" applyBorder="1" applyAlignment="1">
      <x:alignment vertical="center" wrapText="1"/>
    </x:xf>
    <x:xf numFmtId="204" fontId="19" fillId="5" borderId="5" xfId="0" applyNumberFormat="1" applyFont="1" applyFill="1" applyBorder="1"/>
    <x:xf numFmtId="206" fontId="19" fillId="5" borderId="5" xfId="0" applyNumberFormat="1" applyFont="1" applyFill="1" applyBorder="1"/>
    <x:xf numFmtId="206" fontId="19" fillId="5" borderId="6" xfId="0" applyNumberFormat="1" applyFont="1" applyFill="1" applyBorder="1"/>
    <x:xf numFmtId="208" fontId="19" fillId="5" borderId="5" xfId="0" applyNumberFormat="1" applyFont="1" applyFill="1" applyBorder="1"/>
    <x:xf numFmtId="208" fontId="12" fillId="8" borderId="5" xfId="0" applyNumberFormat="1" applyFont="1" applyFill="1" applyBorder="1"/>
    <x:xf numFmtId="208" fontId="7" fillId="8" borderId="5" xfId="0" applyNumberFormat="1" applyFont="1" applyFill="1" applyBorder="1"/>
    <x:xf numFmtId="208" fontId="19" fillId="5" borderId="6" xfId="0" applyNumberFormat="1" applyFont="1" applyFill="1" applyBorder="1"/>
    <x:xf numFmtId="208" fontId="12" fillId="8" borderId="6" xfId="0" applyNumberFormat="1" applyFont="1" applyFill="1" applyBorder="1"/>
    <x:xf numFmtId="209" fontId="7" fillId="8" borderId="5" xfId="0" applyNumberFormat="1" applyFont="1" applyFill="1" applyBorder="1"/>
    <x:xf numFmtId="211" fontId="19" fillId="5" borderId="5" xfId="0" applyNumberFormat="1" applyFont="1" applyFill="1" applyBorder="1"/>
    <x:xf numFmtId="211" fontId="12" fillId="8" borderId="5" xfId="0" applyNumberFormat="1" applyFont="1" applyFill="1" applyBorder="1"/>
    <x:xf numFmtId="210" fontId="19" fillId="5" borderId="6" xfId="0" applyNumberFormat="1" applyFont="1" applyFill="1" applyBorder="1"/>
    <x:xf numFmtId="210" fontId="12" fillId="8" borderId="6" xfId="0" applyNumberFormat="1" applyFont="1" applyFill="1" applyBorder="1"/>
    <x:xf numFmtId="208" fontId="15" fillId="5" borderId="5" xfId="0" applyNumberFormat="1" applyFont="1" applyFill="1" applyBorder="1"/>
    <x:xf numFmtId="208" fontId="15" fillId="8" borderId="5" xfId="0" applyNumberFormat="1" applyFont="1" applyFill="1" applyBorder="1"/>
    <x:xf numFmtId="209" fontId="15" fillId="8" borderId="5" xfId="0" applyNumberFormat="1" applyFont="1" applyFill="1" applyBorder="1"/>
    <x:xf numFmtId="211" fontId="15" fillId="5" borderId="5" xfId="0" applyNumberFormat="1" applyFont="1" applyFill="1" applyBorder="1"/>
    <x:xf numFmtId="211" fontId="15" fillId="8" borderId="5" xfId="0" applyNumberFormat="1" applyFont="1" applyFill="1" applyBorder="1"/>
    <x:xf numFmtId="210" fontId="15" fillId="5" borderId="6" xfId="0" applyNumberFormat="1" applyFont="1" applyFill="1" applyBorder="1"/>
    <x:xf numFmtId="210" fontId="15" fillId="8" borderId="6" xfId="0" applyNumberFormat="1" applyFont="1" applyFill="1" applyBorder="1"/>
    <x:xf numFmtId="0" fontId="12" fillId="0" borderId="5" xfId="0" applyNumberFormat="1" applyFont="1" applyFill="1" applyBorder="1" applyAlignment="1">
      <x:alignment wrapText="1"/>
    </x:xf>
    <x:xf numFmtId="0" fontId="12" fillId="5"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5" borderId="6" xfId="0" applyNumberFormat="1" applyFont="1" applyFill="1" applyBorder="1" applyAlignment="1">
      <x:alignment wrapText="1"/>
    </x:xf>
    <x:xf numFmtId="0" fontId="20" fillId="2" borderId="0" xfId="0" applyNumberFormat="1" applyFont="1" applyFill="1" applyBorder="1" applyAlignment="1">
      <x:alignment horizontal="center" vertical="center" wrapText="1"/>
    </x:xf>
    <x:xf numFmtId="0" fontId="15" fillId="5" borderId="2" xfId="0" applyNumberFormat="1" applyFont="1" applyFill="1" applyBorder="1" applyAlignment="1">
      <x:alignment vertical="center"/>
    </x:xf>
    <x:xf numFmtId="0" fontId="15" fillId="5" borderId="2" xfId="0" applyNumberFormat="1" applyFont="1" applyFill="1" applyBorder="1" applyAlignment="1">
      <x:alignment vertical="center" wrapText="1"/>
    </x:xf>
    <x:xf numFmtId="0" fontId="15" fillId="5" borderId="2" xfId="0" applyNumberFormat="1" applyFont="1" applyFill="1" applyBorder="1" applyAlignment="1">
      <x:alignment vertical="top" wrapText="1"/>
    </x:xf>
    <x:xf numFmtId="0" fontId="20" fillId="12" borderId="0" xfId="0" applyNumberFormat="1" applyFont="1" applyFill="1" applyBorder="1" applyAlignment="1">
      <x:alignment horizontal="center" vertical="center" wrapText="1"/>
    </x:xf>
    <x:xf numFmtId="0" fontId="20" fillId="5" borderId="2" xfId="0" applyNumberFormat="1" applyFont="1" applyFill="1" applyBorder="1" applyAlignment="1">
      <x:alignment vertical="top" wrapText="1"/>
    </x:xf>
    <x:xf numFmtId="0" fontId="20" fillId="0" borderId="2" xfId="0" applyNumberFormat="1" applyFont="1" applyFill="1" applyBorder="1" applyAlignment="1">
      <x:alignment vertical="center"/>
    </x:xf>
    <x:xf numFmtId="204" fontId="15" fillId="8" borderId="2" xfId="0" applyNumberFormat="1" applyFont="1" applyFill="1" applyBorder="1" applyAlignment="1">
      <x:alignment vertical="center" wrapText="1"/>
    </x:xf>
    <x:xf numFmtId="0" fontId="20" fillId="0" borderId="2" xfId="0" applyNumberFormat="1" applyFont="1" applyFill="1" applyBorder="1" applyAlignment="1">
      <x:alignment vertical="center" wrapText="1"/>
    </x:xf>
    <x:xf numFmtId="0" fontId="19" fillId="5" borderId="2" xfId="0" applyNumberFormat="1" applyFont="1" applyFill="1" applyBorder="1" applyAlignment="1">
      <x:alignment vertical="center" wrapText="1"/>
    </x:xf>
    <x:xf numFmtId="208" fontId="15" fillId="8" borderId="2" xfId="0" applyNumberFormat="1" applyFont="1" applyFill="1" applyBorder="1" applyAlignment="1">
      <x:alignment vertical="center" wrapText="1"/>
    </x:xf>
    <x:xf numFmtId="0" fontId="0" fillId="13" borderId="0" xfId="0" applyNumberFormat="1" applyFont="1" applyFill="1" applyBorder="1"/>
    <x:xf numFmtId="0" fontId="24" fillId="0" borderId="0" xfId="0" applyNumberFormat="1" applyFont="1" applyFill="1" applyBorder="1"/>
    <x:xf numFmtId="208" fontId="24" fillId="0" borderId="0" xfId="0" applyNumberFormat="1" applyFont="1" applyFill="1" applyBorder="1"/>
    <x:xf numFmtId="208" fontId="25" fillId="0" borderId="0" xfId="0" applyNumberFormat="1" applyFont="1" applyFill="1" applyBorder="1"/>
    <x:xf numFmtId="0" fontId="24" fillId="0" borderId="0" xfId="0" applyNumberFormat="1" applyFont="1" applyFill="1" applyBorder="1" applyAlignment="1">
      <x:alignment wrapText="1"/>
    </x:xf>
    <x:xf numFmtId="0" fontId="15" fillId="0" borderId="0" xfId="0" applyNumberFormat="1" applyFont="1" applyFill="1" applyBorder="1" applyAlignment="1">
      <x:alignment wrapText="1"/>
    </x:xf>
    <x:xf numFmtId="208" fontId="15" fillId="0" borderId="0" xfId="0" applyNumberFormat="1" applyFont="1" applyFill="1" applyBorder="1"/>
    <x:xf numFmtId="0" fontId="15" fillId="12" borderId="0" xfId="0" applyNumberFormat="1" applyFont="1" applyFill="1" applyBorder="1"/>
    <x:xf numFmtId="208" fontId="15" fillId="12" borderId="0" xfId="0" applyNumberFormat="1" applyFont="1" applyFill="1" applyBorder="1"/>
    <x:xf numFmtId="0" fontId="3" fillId="12" borderId="0" xfId="0" applyNumberFormat="1" applyFont="1" applyFill="1" applyBorder="1"/>
    <x:xf numFmtId="208" fontId="3" fillId="12" borderId="0" xfId="0" applyNumberFormat="1" applyFont="1" applyFill="1" applyBorder="1"/>
    <x:xf numFmtId="208" fontId="19" fillId="0" borderId="0" xfId="0" applyNumberFormat="1" applyFont="1" applyFill="1" applyBorder="1"/>
    <x:xf numFmtId="0" fontId="15" fillId="13" borderId="0" xfId="0" applyNumberFormat="1" applyFont="1" applyFill="1" applyBorder="1"/>
    <x:xf numFmtId="208" fontId="15" fillId="13" borderId="0" xfId="0" applyNumberFormat="1" applyFont="1" applyFill="1" applyBorder="1"/>
    <x:xf numFmtId="0" fontId="20" fillId="13" borderId="0" xfId="0" applyNumberFormat="1" applyFont="1" applyFill="1" applyBorder="1"/>
    <x:xf numFmtId="208" fontId="20" fillId="13" borderId="0" xfId="0" applyNumberFormat="1" applyFont="1" applyFill="1" applyBorder="1"/>
    <x:xf numFmtId="208" fontId="19" fillId="13" borderId="0" xfId="0" applyNumberFormat="1" applyFont="1" applyFill="1" applyBorder="1"/>
    <x:xf numFmtId="208" fontId="22" fillId="13" borderId="0" xfId="0" applyNumberFormat="1" applyFont="1" applyFill="1" applyBorder="1"/>
    <x:xf numFmtId="212" fontId="15" fillId="0" borderId="0" xfId="0" applyNumberFormat="1" applyFont="1" applyFill="1" applyBorder="1"/>
    <x:xf numFmtId="208" fontId="20" fillId="12" borderId="0" xfId="0" applyNumberFormat="1" applyFont="1" applyFill="1" applyBorder="1"/>
    <x:xf numFmtId="208" fontId="15" fillId="0" borderId="0" xfId="0" applyNumberFormat="1" applyFont="1" applyFill="1" applyBorder="1" applyAlignment="1">
      <x:alignment wrapText="1"/>
    </x:xf>
    <x:xf numFmtId="212" fontId="19" fillId="0" borderId="0" xfId="0" applyNumberFormat="1" applyFont="1" applyFill="1" applyBorder="1" applyAlignment="1">
      <x:alignment vertical="center"/>
    </x:xf>
    <x:xf numFmtId="212" fontId="15" fillId="0" borderId="0" xfId="0" applyNumberFormat="1" applyFont="1" applyFill="1" applyBorder="1" applyAlignment="1">
      <x:alignment vertical="center"/>
    </x:xf>
    <x:xf numFmtId="0" fontId="15" fillId="0" borderId="0" xfId="0" applyNumberFormat="1" applyFont="1" applyFill="1" applyBorder="1" applyAlignment="1">
      <x:alignment vertical="center" wrapText="1"/>
    </x:xf>
    <x:xf numFmtId="208" fontId="15" fillId="0" borderId="0" xfId="0" applyNumberFormat="1" applyFont="1" applyFill="1" applyBorder="1" applyAlignment="1">
      <x:alignment vertical="center" wrapText="1"/>
    </x:xf>
  </x:cellXfs>
  <x:cellStyles count="1">
    <x:cellStyle name="Normal" xfId="0"/>
  </x:cellStyles>
  <x:dxfs count="12">
    <x:dxf>
      <x:font>
        <x:b/>
        <x:color rgb="FF9C2525"/>
      </x:font>
    </x:dxf>
    <x:dxf>
      <x:font>
        <x:b/>
        <x:color rgb="FF9C2525"/>
      </x:font>
    </x:dxf>
    <x:dxf>
      <x:font>
        <x:b/>
        <x:color rgb="FF9C2525"/>
      </x:font>
      <x:fill>
        <x:patternFill patternType="solid">
          <x:bgColor rgb="FFFCE5E5"/>
        </x:patternFill>
      </x:fill>
    </x:dxf>
    <x:dxf>
      <x:font>
        <x:b/>
        <x:color rgb="FF9C2525"/>
      </x:font>
      <x:fill>
        <x:patternFill patternType="solid">
          <x:bgColor rgb="FFFCE5E5"/>
        </x:patternFill>
      </x:fill>
    </x:dxf>
    <x:dxf>
      <x:font>
        <x:b/>
        <x:color rgb="FF9C2525"/>
      </x:font>
      <x:fill>
        <x:patternFill patternType="solid">
          <x:bgColor rgb="FFFCE5E5"/>
        </x:patternFill>
      </x:fill>
    </x:dxf>
    <x:dxf>
      <x:font>
        <x:b/>
        <x:color rgb="FF9C2525"/>
      </x:font>
      <x:fill>
        <x:patternFill patternType="solid">
          <x:bgColor rgb="FFFCE5E5"/>
        </x:patternFill>
      </x:fill>
    </x:dxf>
    <x:dxf>
      <x:font>
        <x:b/>
        <x:color rgb="FF9C2525"/>
      </x:font>
      <x:fill>
        <x:patternFill patternType="solid">
          <x:bgColor rgb="FFFCE5E5"/>
        </x:patternFill>
      </x:fill>
    </x:dxf>
    <x:dxf>
      <x:font>
        <x:b/>
        <x:color rgb="FF9C2525"/>
      </x:font>
      <x:fill>
        <x:patternFill patternType="solid">
          <x:bgColor rgb="FFFCE5E5"/>
        </x:patternFill>
      </x:fill>
    </x:dxf>
    <x:dxf>
      <x:font>
        <x:b/>
        <x:color rgb="FF9C2525"/>
      </x:font>
      <x:fill>
        <x:patternFill patternType="solid">
          <x:bgColor rgb="FFFCE5E5"/>
        </x:patternFill>
      </x:fill>
    </x:dxf>
    <x:dxf>
      <x:font>
        <x:b/>
        <x:color rgb="FF9C2525"/>
      </x:font>
      <x:fill>
        <x:patternFill patternType="solid">
          <x:bgColor rgb="FFFCE5E5"/>
        </x:patternFill>
      </x:fill>
    </x:dxf>
    <x:dxf>
      <x:font>
        <x:b/>
        <x:color rgb="FF9C2525"/>
      </x:font>
      <x:fill>
        <x:patternFill patternType="solid">
          <x:bgColor rgb="FFFCE5E5"/>
        </x:patternFill>
      </x:fill>
    </x:dxf>
    <x:dxf>
      <x:font>
        <x:b/>
        <x:color rgb="FF9C2525"/>
      </x:font>
      <x:fill>
        <x:patternFill patternType="solid">
          <x:bgColor rgb="FFFCE5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7670721e64486b" /><Relationship Type="http://schemas.openxmlformats.org/officeDocument/2006/relationships/theme" Target="/xl/theme/theme1.xml" Id="R3eb24cb5edc9463b" /><Relationship Type="http://schemas.openxmlformats.org/officeDocument/2006/relationships/sharedStrings" Target="/xl/sharedStrings.xml" Id="R6c450ebb5bb94019" /><Relationship Type="http://schemas.openxmlformats.org/officeDocument/2006/relationships/worksheet" Target="/xl/worksheets/sheet1.xml" Id="R514c92027f1b4861" /><Relationship Type="http://schemas.openxmlformats.org/officeDocument/2006/relationships/worksheet" Target="/xl/worksheets/sheet2.xml" Id="R00fef57f3b2c41f2" /><Relationship Type="http://schemas.openxmlformats.org/officeDocument/2006/relationships/worksheet" Target="/xl/worksheets/sheet3.xml" Id="R96bf524eee6240ab" /><Relationship Type="http://schemas.openxmlformats.org/officeDocument/2006/relationships/worksheet" Target="/xl/worksheets/sheet4.xml" Id="R3d8702cc7b57442d" /><Relationship Type="http://schemas.openxmlformats.org/officeDocument/2006/relationships/worksheet" Target="/xl/worksheets/sheet5.xml" Id="R6fdb29402209406b" /><Relationship Type="http://schemas.openxmlformats.org/officeDocument/2006/relationships/worksheet" Target="/xl/worksheets/sheet6.xml" Id="R227a51c93a734c50" /><Relationship Type="http://schemas.openxmlformats.org/officeDocument/2006/relationships/worksheet" Target="/xl/worksheets/sheet7.xml" Id="Ra834b9ed9f0246d4" /><Relationship Type="http://schemas.openxmlformats.org/officeDocument/2006/relationships/worksheet" Target="/xl/worksheets/sheet8.xml" Id="R38745755b1d24048" /><Relationship Type="http://schemas.openxmlformats.org/officeDocument/2006/relationships/worksheet" Target="/xl/worksheets/sheet9.xml" Id="Ra26e5d5ed6f646b3" /><Relationship Type="http://schemas.openxmlformats.org/officeDocument/2006/relationships/worksheet" Target="/xl/worksheets/sheet10.xml" Id="R07a93fbc0d41463f" /><Relationship Type="http://schemas.openxmlformats.org/officeDocument/2006/relationships/worksheet" Target="/xl/worksheets/sheet11.xml" Id="Rfc18194473ae45dd" /><Relationship Type="http://schemas.openxmlformats.org/officeDocument/2006/relationships/worksheet" Target="/xl/worksheets/sheet12.xml" Id="R6ca481d9b6c848fb" /><Relationship Type="http://schemas.openxmlformats.org/officeDocument/2006/relationships/worksheet" Target="/xl/worksheets/sheet13.xml" Id="Rdd3bb36fd9cf4c30" /><Relationship Type="http://schemas.openxmlformats.org/officeDocument/2006/relationships/worksheet" Target="/xl/worksheets/sheet14.xml" Id="R2cd46dcc5bf346b3" /><Relationship Type="http://schemas.openxmlformats.org/officeDocument/2006/relationships/worksheet" Target="/xl/worksheets/sheet15.xml" Id="R5b29a977d8ea4294" /><Relationship Type="http://schemas.openxmlformats.org/officeDocument/2006/relationships/worksheet" Target="/xl/worksheets/sheet16.xml" Id="Rb274c3af592f4158" /><Relationship Type="http://schemas.openxmlformats.org/officeDocument/2006/relationships/worksheet" Target="/xl/worksheets/sheet17.xml" Id="Ra019f35b288344d6" /><Relationship Type="http://schemas.openxmlformats.org/officeDocument/2006/relationships/worksheet" Target="/xl/worksheets/sheet18.xml" Id="R5c3789b1310c465b" /><Relationship Type="http://schemas.openxmlformats.org/officeDocument/2006/relationships/worksheet" Target="/xl/worksheets/sheet19.xml" Id="Rb13bace58dfd4d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 hidden="0" customWidth="1"/>
    <x:col min="2" max="2" width="28" hidden="0" customWidth="1"/>
    <x:col min="3" max="3" width="64" hidden="0" customWidth="1"/>
  </x:cols>
  <x:sheetData>
    <x:row r="2">
      <x:c r="B2" s="24" t="str">
        <x:v>Bad Boss Business School Budget Review</x:v>
      </x:c>
      <x:c r="C2" s="25"/>
      <x:c r="D2" s="25"/>
      <x:c r="E2" s="25"/>
      <x:c r="F2" s="25"/>
      <x:c r="G2" s="25"/>
      <x:c r="H2" s="25"/>
      <x:c r="I2" s="25"/>
      <x:c r="J2" s="25"/>
    </x:row>
    <x:row r="3">
      <x:c r="B3" s="26" t="str">
        <x:v>Student workbook. EUR, excluding VAT unless stated otherwise.</x:v>
      </x:c>
      <x:c r="C3" s="26"/>
      <x:c r="D3" s="26"/>
      <x:c r="E3" s="26"/>
      <x:c r="F3" s="26"/>
      <x:c r="G3" s="26"/>
      <x:c r="H3" s="26"/>
      <x:c r="I3" s="26"/>
      <x:c r="J3" s="26"/>
    </x:row>
    <x:row r="4">
      <x:c r="B4" s="27"/>
      <x:c r="C4" s="27"/>
      <x:c r="D4" s="27"/>
      <x:c r="E4" s="27"/>
      <x:c r="F4" s="27"/>
      <x:c r="G4" s="27"/>
      <x:c r="H4" s="27"/>
      <x:c r="I4" s="27"/>
      <x:c r="J4" s="27"/>
    </x:row>
    <x:row r="5">
      <x:c r="B5" s="27"/>
      <x:c r="C5" s="27"/>
      <x:c r="D5" s="27"/>
      <x:c r="E5" s="27"/>
      <x:c r="F5" s="27"/>
      <x:c r="G5" s="27"/>
      <x:c r="H5" s="27"/>
      <x:c r="I5" s="27"/>
      <x:c r="J5" s="27"/>
    </x:row>
    <x:row r="6">
      <x:c r="B6" s="8" t="str">
        <x:v>Colour</x:v>
      </x:c>
      <x:c r="C6" s="8" t="str">
        <x:v>Meaning</x:v>
      </x:c>
      <x:c r="D6" s="27"/>
      <x:c r="E6" s="27"/>
      <x:c r="F6" s="27"/>
      <x:c r="G6" s="27"/>
      <x:c r="H6" s="27"/>
      <x:c r="I6" s="27"/>
      <x:c r="J6" s="27"/>
    </x:row>
    <x:row r="7">
      <x:c r="B7" s="28" t="str">
        <x:v>Blue text</x:v>
      </x:c>
      <x:c r="C7" s="29" t="str">
        <x:v>Manual inputs supplied by departments</x:v>
      </x:c>
      <x:c r="D7" s="27"/>
      <x:c r="E7" s="27"/>
      <x:c r="F7" s="27"/>
      <x:c r="G7" s="27"/>
      <x:c r="H7" s="27"/>
      <x:c r="I7" s="27"/>
      <x:c r="J7" s="27"/>
    </x:row>
    <x:row r="8">
      <x:c r="B8" s="28" t="str">
        <x:v>Green text</x:v>
      </x:c>
      <x:c r="C8" s="29" t="str">
        <x:v>Links to another worksheet</x:v>
      </x:c>
      <x:c r="D8" s="27"/>
      <x:c r="E8" s="27"/>
      <x:c r="F8" s="27"/>
      <x:c r="G8" s="27"/>
      <x:c r="H8" s="27"/>
      <x:c r="I8" s="27"/>
      <x:c r="J8" s="27"/>
    </x:row>
    <x:row r="9">
      <x:c r="B9" s="28" t="str">
        <x:v>Black text</x:v>
      </x:c>
      <x:c r="C9" s="29" t="str">
        <x:v>Formulas calculated on the same worksheet</x:v>
      </x:c>
      <x:c r="D9" s="27"/>
      <x:c r="E9" s="27"/>
      <x:c r="F9" s="27"/>
      <x:c r="G9" s="27"/>
      <x:c r="H9" s="27"/>
      <x:c r="I9" s="27"/>
      <x:c r="J9" s="27"/>
    </x:row>
    <x:row r="10">
      <x:c r="B10" s="28" t="str">
        <x:v>Yellow fill</x:v>
      </x:c>
      <x:c r="C10" s="29" t="str">
        <x:v>Student working area</x:v>
      </x:c>
      <x:c r="D10" s="27"/>
      <x:c r="E10" s="27"/>
      <x:c r="F10" s="27"/>
      <x:c r="G10" s="27"/>
      <x:c r="H10" s="27"/>
      <x:c r="I10" s="27"/>
      <x:c r="J10" s="27"/>
    </x:row>
    <x:row r="11">
      <x:c r="B11" s="27"/>
      <x:c r="C11" s="27"/>
      <x:c r="D11" s="27"/>
      <x:c r="E11" s="27"/>
      <x:c r="F11" s="27"/>
      <x:c r="G11" s="27"/>
      <x:c r="H11" s="27"/>
      <x:c r="I11" s="27"/>
      <x:c r="J11" s="27"/>
    </x:row>
    <x:row r="12">
      <x:c r="B12" s="30" t="str">
        <x:v>What the workbook contains</x:v>
      </x:c>
      <x:c r="C12" s="27"/>
      <x:c r="D12" s="27"/>
      <x:c r="E12" s="27"/>
      <x:c r="F12" s="27"/>
      <x:c r="G12" s="27"/>
      <x:c r="H12" s="27"/>
      <x:c r="I12" s="27"/>
      <x:c r="J12" s="27"/>
    </x:row>
    <x:row r="13">
      <x:c r="B13" s="27" t="str">
        <x:v>Prior-year financial, sales, marketing and operational results</x:v>
      </x:c>
      <x:c r="C13" s="27"/>
      <x:c r="D13" s="27"/>
      <x:c r="E13" s="27"/>
      <x:c r="F13" s="27"/>
      <x:c r="G13" s="27"/>
      <x:c r="H13" s="27"/>
      <x:c r="I13" s="27"/>
      <x:c r="J13" s="27"/>
    </x:row>
    <x:row r="14">
      <x:c r="B14" s="27" t="str">
        <x:v>The sales director's draft revenue budget</x:v>
      </x:c>
      <x:c r="C14" s="27"/>
      <x:c r="D14" s="27"/>
      <x:c r="E14" s="27"/>
      <x:c r="F14" s="27"/>
      <x:c r="G14" s="27"/>
      <x:c r="H14" s="27"/>
      <x:c r="I14" s="27"/>
      <x:c r="J14" s="27"/>
    </x:row>
    <x:row r="15">
      <x:c r="B15" s="27" t="str">
        <x:v>The operations director's planned-program register</x:v>
      </x:c>
      <x:c r="C15" s="27"/>
      <x:c r="D15" s="27"/>
      <x:c r="E15" s="27"/>
      <x:c r="F15" s="27"/>
      <x:c r="G15" s="27"/>
      <x:c r="H15" s="27"/>
      <x:c r="I15" s="27"/>
      <x:c r="J15" s="27"/>
    </x:row>
    <x:row r="16">
      <x:c r="B16" s="27" t="str">
        <x:v>The finance director's operating-expense budget</x:v>
      </x:c>
      <x:c r="C16" s="27"/>
      <x:c r="D16" s="27"/>
      <x:c r="E16" s="27"/>
      <x:c r="F16" s="27"/>
      <x:c r="G16" s="27"/>
      <x:c r="H16" s="27"/>
      <x:c r="I16" s="27"/>
      <x:c r="J16" s="27"/>
    </x:row>
    <x:row r="17">
      <x:c r="B17" s="27" t="str">
        <x:v>The resulting draft profit and loss statement</x:v>
      </x:c>
      <x:c r="C17" s="27"/>
      <x:c r="D17" s="27"/>
      <x:c r="E17" s="27"/>
      <x:c r="F17" s="27"/>
      <x:c r="G17" s="27"/>
      <x:c r="H17" s="27"/>
      <x:c r="I17" s="27"/>
      <x:c r="J17" s="27"/>
    </x:row>
    <x:row r="18">
      <x:c r="B18" s="27" t="str">
        <x:v>Two tasks: first correct the forecast, then decide how to improve the business.</x:v>
      </x:c>
      <x:c r="C18" s="27"/>
      <x:c r="D18" s="27"/>
      <x:c r="E18" s="27"/>
      <x:c r="F18" s="27"/>
      <x:c r="G18" s="27"/>
      <x:c r="H18" s="27"/>
      <x:c r="I18" s="27"/>
      <x:c r="J18" s="27"/>
    </x:row>
    <x:row r="19">
      <x:c r="B19" s="27" t="str">
        <x:v>Work in sheets 09–13. Keep source sheets 01–08 unchanged.</x:v>
      </x:c>
      <x:c r="C19" s="27"/>
      <x:c r="D19" s="27"/>
      <x:c r="E19" s="27"/>
      <x:c r="F19" s="27"/>
      <x:c r="G19" s="27"/>
      <x:c r="H19" s="27"/>
      <x:c r="I19" s="27"/>
      <x:c r="J19" s="27"/>
    </x:row>
    <x:row r="20">
      <x:c r="B20" s="27"/>
      <x:c r="C20" s="27"/>
      <x:c r="D20" s="27"/>
      <x:c r="E20" s="27"/>
      <x:c r="F20" s="27"/>
      <x:c r="G20" s="27"/>
      <x:c r="H20" s="27"/>
      <x:c r="I20" s="27"/>
      <x:c r="J20" s="27"/>
    </x:row>
    <x:row r="21">
      <x:c r="B21" s="30" t="str">
        <x:v>Part 1  Red-pencil correction</x:v>
      </x:c>
      <x:c r="C21" s="27"/>
      <x:c r="D21" s="27"/>
      <x:c r="E21" s="27"/>
      <x:c r="F21" s="27"/>
      <x:c r="G21" s="27"/>
      <x:c r="H21" s="27"/>
      <x:c r="I21" s="27"/>
      <x:c r="J21" s="27"/>
    </x:row>
    <x:row r="22" ht="24" customHeight="1">
      <x:c r="B22" s="31" t="str">
        <x:v>In 10 Corrected Budget, calculate the monthly result if existing decisions remain unchanged. Correct unsupported estimates using the case evidence; do not introduce new actions to improve performance.</x:v>
      </x:c>
      <x:c r="C22" s="31"/>
      <x:c r="D22" s="31"/>
      <x:c r="E22" s="31"/>
      <x:c r="F22" s="31"/>
      <x:c r="G22" s="31"/>
      <x:c r="H22" s="31"/>
      <x:c r="I22" s="31"/>
      <x:c r="J22" s="31"/>
    </x:row>
    <x:row r="23" ht="24" customHeight="1">
      <x:c r="B23" s="31"/>
      <x:c r="C23" s="31"/>
      <x:c r="D23" s="31"/>
      <x:c r="E23" s="31"/>
      <x:c r="F23" s="31"/>
      <x:c r="G23" s="31"/>
      <x:c r="H23" s="31"/>
      <x:c r="I23" s="31"/>
      <x:c r="J23" s="31"/>
    </x:row>
    <x:row r="25" ht="19" customHeight="1">
      <x:c r="B25" s="9" t="str">
        <x:v>Part 2  Management decisions and budget</x:v>
      </x:c>
      <x:c r="C25" s="9"/>
      <x:c r="D25" s="9"/>
      <x:c r="E25" s="9"/>
      <x:c r="F25" s="9"/>
      <x:c r="G25" s="9"/>
      <x:c r="H25" s="9"/>
      <x:c r="I25" s="9"/>
      <x:c r="J25" s="9"/>
    </x:row>
    <x:row r="26" ht="19" customHeight="1">
      <x:c r="B26" s="105" t="str">
        <x:v>Record your decisions in 11 Management Recommendation, including timing, costs and expected effects. Then build the resulting monthly P&amp;L in 12 Management Budget. Keep Part 1 intact.</x:v>
      </x:c>
      <x:c r="C26" s="105"/>
      <x:c r="D26" s="105"/>
      <x:c r="E26" s="105"/>
      <x:c r="F26" s="105"/>
      <x:c r="G26" s="105"/>
      <x:c r="H26" s="105"/>
      <x:c r="I26" s="105"/>
      <x:c r="J26" s="105"/>
    </x:row>
    <x:row r="27" ht="19" customHeight="1">
      <x:c r="B27" s="105"/>
      <x:c r="C27" s="105"/>
      <x:c r="D27" s="105"/>
      <x:c r="E27" s="105"/>
      <x:c r="F27" s="105"/>
      <x:c r="G27" s="105"/>
      <x:c r="H27" s="105"/>
      <x:c r="I27" s="105"/>
      <x:c r="J27" s="105"/>
    </x:row>
    <x:row r="28" ht="19" customHeight="1">
      <x:c r="B28" s="105"/>
      <x:c r="C28" s="105"/>
      <x:c r="D28" s="105"/>
      <x:c r="E28" s="105"/>
      <x:c r="F28" s="105"/>
      <x:c r="G28" s="105"/>
      <x:c r="H28" s="105"/>
      <x:c r="I28" s="105"/>
      <x:c r="J28" s="105"/>
    </x:row>
    <x:row r="29" ht="19" customHeight="1">
      <x:c r="B29" s="103"/>
      <x:c r="C29" s="103"/>
      <x:c r="D29" s="103"/>
      <x:c r="E29" s="103"/>
      <x:c r="F29" s="103"/>
      <x:c r="G29" s="103"/>
      <x:c r="H29" s="103"/>
      <x:c r="I29" s="103"/>
      <x:c r="J29" s="103"/>
    </x:row>
    <x:row r="30" ht="19" customHeight="1">
      <x:c r="B30" s="9" t="str">
        <x:v>Compare the three versions</x:v>
      </x:c>
      <x:c r="C30" s="9"/>
      <x:c r="D30" s="9"/>
      <x:c r="E30" s="9"/>
      <x:c r="F30" s="9"/>
      <x:c r="G30" s="9"/>
      <x:c r="H30" s="9"/>
      <x:c r="I30" s="9"/>
      <x:c r="J30" s="9"/>
    </x:row>
    <x:row r="31" ht="19" customHeight="1">
      <x:c r="B31" s="105" t="str">
        <x:v>13 Monthly Comparison links the original draft, Part 1 and Part 2. Use the same January–December columns and annual totals. Explain corrections and management decisions separately.</x:v>
      </x:c>
      <x:c r="C31" s="105"/>
      <x:c r="D31" s="105"/>
      <x:c r="E31" s="105"/>
      <x:c r="F31" s="105"/>
      <x:c r="G31" s="105"/>
      <x:c r="H31" s="105"/>
      <x:c r="I31" s="105"/>
      <x:c r="J31" s="105"/>
    </x:row>
    <x:row r="32" ht="19" customHeight="1">
      <x:c r="B32" s="105"/>
      <x:c r="C32" s="105"/>
      <x:c r="D32" s="105"/>
      <x:c r="E32" s="105"/>
      <x:c r="F32" s="105"/>
      <x:c r="G32" s="105"/>
      <x:c r="H32" s="105"/>
      <x:c r="I32" s="105"/>
      <x:c r="J32" s="105"/>
    </x:row>
    <x:row r="33" ht="19" customHeight="1">
      <x:c r="B33" s="105"/>
      <x:c r="C33" s="105"/>
      <x:c r="D33" s="105"/>
      <x:c r="E33" s="105"/>
      <x:c r="F33" s="105"/>
      <x:c r="G33" s="105"/>
      <x:c r="H33" s="105"/>
      <x:c r="I33" s="105"/>
      <x:c r="J33" s="105"/>
    </x:row>
    <x:row r="34" ht="19" customHeight="1">
      <x:c r="B34" s="103"/>
      <x:c r="C34" s="103"/>
      <x:c r="D34" s="103"/>
      <x:c r="E34" s="103"/>
      <x:c r="F34" s="103"/>
      <x:c r="G34" s="103"/>
      <x:c r="H34" s="103"/>
      <x:c r="I34" s="103"/>
      <x:c r="J34" s="103"/>
    </x:row>
    <x:row r="35" ht="19" customHeight="1">
      <x:c r="B35" s="105" t="str">
        <x:v>Use 09 Assumption Review to record evidence, uncertainties and whether a change is a correction or a new decision. Submit one workbook containing both budgets, their supporting calculations and the comparison.</x:v>
      </x:c>
      <x:c r="C35" s="105"/>
      <x:c r="D35" s="105"/>
      <x:c r="E35" s="105"/>
      <x:c r="F35" s="105"/>
      <x:c r="G35" s="105"/>
      <x:c r="H35" s="105"/>
      <x:c r="I35" s="105"/>
      <x:c r="J35" s="105"/>
    </x:row>
    <x:row r="36" ht="19" customHeight="1">
      <x:c r="B36" s="105"/>
      <x:c r="C36" s="105"/>
      <x:c r="D36" s="105"/>
      <x:c r="E36" s="105"/>
      <x:c r="F36" s="105"/>
      <x:c r="G36" s="105"/>
      <x:c r="H36" s="105"/>
      <x:c r="I36" s="105"/>
      <x:c r="J36" s="105"/>
    </x:row>
    <x:row r="37" ht="19" customHeight="1">
      <x:c r="B37" s="105"/>
      <x:c r="C37" s="105"/>
      <x:c r="D37" s="105"/>
      <x:c r="E37" s="105"/>
      <x:c r="F37" s="105"/>
      <x:c r="G37" s="105"/>
      <x:c r="H37" s="105"/>
      <x:c r="I37" s="105"/>
      <x:c r="J37" s="105"/>
    </x:row>
  </x:sheetData>
  <x:mergeCells>
    <x:mergeCell ref="B22:J23"/>
    <x:mergeCell ref="B26:J28"/>
    <x:mergeCell ref="B31:J33"/>
    <x:mergeCell ref="B35:J3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 hidden="0" customWidth="1"/>
    <x:col min="2" max="2" width="24" hidden="0" customWidth="1"/>
    <x:col min="3" max="3" width="2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4" hidden="0" customWidth="1"/>
  </x:cols>
  <x:sheetData>
    <x:row r="2">
      <x:c r="B2" s="24" t="str">
        <x:v>Prior Year Profit and Loss</x:v>
      </x:c>
      <x:c r="C2" s="25"/>
      <x:c r="D2" s="25"/>
      <x:c r="E2" s="25"/>
      <x:c r="F2" s="25"/>
      <x:c r="G2" s="25"/>
      <x:c r="H2" s="25"/>
      <x:c r="I2" s="25"/>
      <x:c r="J2" s="25"/>
      <x:c r="K2" s="25"/>
      <x:c r="L2" s="25"/>
      <x:c r="M2" s="25"/>
      <x:c r="N2" s="25"/>
      <x:c r="O2" s="25"/>
      <x:c r="P2" s="25"/>
    </x:row>
    <x:row r="3">
      <x:c r="B3" s="26" t="str">
        <x:v>2025 actual monthly results. EUR excluding VAT.</x:v>
      </x:c>
      <x:c r="C3" s="26"/>
      <x:c r="D3" s="26"/>
      <x:c r="E3" s="26"/>
      <x:c r="F3" s="26"/>
      <x:c r="G3" s="26"/>
      <x:c r="H3" s="26"/>
      <x:c r="I3" s="26"/>
      <x:c r="J3" s="26"/>
      <x:c r="K3" s="26"/>
      <x:c r="L3" s="26"/>
      <x:c r="M3" s="26"/>
      <x:c r="N3" s="26"/>
      <x:c r="O3" s="26"/>
      <x:c r="P3" s="26"/>
    </x:row>
    <x:row r="4">
      <x:c r="B4" s="27"/>
      <x:c r="C4" s="27"/>
      <x:c r="D4" s="27"/>
      <x:c r="E4" s="27"/>
      <x:c r="F4" s="27"/>
      <x:c r="G4" s="27"/>
      <x:c r="H4" s="27"/>
      <x:c r="I4" s="27"/>
      <x:c r="J4" s="27"/>
      <x:c r="K4" s="27"/>
      <x:c r="L4" s="27"/>
      <x:c r="M4" s="27"/>
      <x:c r="N4" s="27"/>
      <x:c r="O4" s="27"/>
      <x:c r="P4" s="27"/>
    </x:row>
    <x:row r="5">
      <x:c r="B5" s="27"/>
      <x:c r="C5" s="27"/>
      <x:c r="D5" s="27"/>
      <x:c r="E5" s="27"/>
      <x:c r="F5" s="27"/>
      <x:c r="G5" s="27"/>
      <x:c r="H5" s="27"/>
      <x:c r="I5" s="27"/>
      <x:c r="J5" s="27"/>
      <x:c r="K5" s="27"/>
      <x:c r="L5" s="27"/>
      <x:c r="M5" s="27"/>
      <x:c r="N5" s="27"/>
      <x:c r="O5" s="27"/>
      <x:c r="P5" s="27"/>
    </x:row>
    <x:row r="6">
      <x:c r="B6" s="8" t="str">
        <x:v>P&amp;L line</x:v>
      </x:c>
      <x:c r="C6" s="8" t="str">
        <x:v>Type</x:v>
      </x:c>
      <x:c r="D6" s="8" t="str">
        <x:v>Jan</x:v>
      </x:c>
      <x:c r="E6" s="8" t="str">
        <x:v>Feb</x:v>
      </x:c>
      <x:c r="F6" s="8" t="str">
        <x:v>Mar</x:v>
      </x:c>
      <x:c r="G6" s="8" t="str">
        <x:v>Apr</x:v>
      </x:c>
      <x:c r="H6" s="8" t="str">
        <x:v>May</x:v>
      </x:c>
      <x:c r="I6" s="8" t="str">
        <x:v>Jun</x:v>
      </x:c>
      <x:c r="J6" s="8" t="str">
        <x:v>Jul</x:v>
      </x:c>
      <x:c r="K6" s="8" t="str">
        <x:v>Aug</x:v>
      </x:c>
      <x:c r="L6" s="8" t="str">
        <x:v>Sep</x:v>
      </x:c>
      <x:c r="M6" s="8" t="str">
        <x:v>Oct</x:v>
      </x:c>
      <x:c r="N6" s="8" t="str">
        <x:v>Nov</x:v>
      </x:c>
      <x:c r="O6" s="8" t="str">
        <x:v>Dec</x:v>
      </x:c>
      <x:c r="P6" s="8" t="str">
        <x:v>FY Total</x:v>
      </x:c>
    </x:row>
    <x:row r="7">
      <x:c r="B7" s="27" t="str">
        <x:v>Revenue</x:v>
      </x:c>
      <x:c r="C7" s="27" t="str">
        <x:v>Sales</x:v>
      </x:c>
      <x:c r="D7" s="40" t="n">
        <x:f>'02 Prior Year Sales'!D20</x:f>
        <x:v>44500</x:v>
      </x:c>
      <x:c r="E7" s="40" t="n">
        <x:f>'02 Prior Year Sales'!E20</x:f>
        <x:v>50500</x:v>
      </x:c>
      <x:c r="F7" s="40" t="n">
        <x:f>'02 Prior Year Sales'!F20</x:f>
        <x:v>45500</x:v>
      </x:c>
      <x:c r="G7" s="40" t="n">
        <x:f>'02 Prior Year Sales'!G20</x:f>
        <x:v>63500</x:v>
      </x:c>
      <x:c r="H7" s="40" t="n">
        <x:f>'02 Prior Year Sales'!H20</x:f>
        <x:v>43000</x:v>
      </x:c>
      <x:c r="I7" s="40" t="n">
        <x:f>'02 Prior Year Sales'!I20</x:f>
        <x:v>29000</x:v>
      </x:c>
      <x:c r="J7" s="40" t="n">
        <x:f>'02 Prior Year Sales'!J20</x:f>
        <x:v>15000</x:v>
      </x:c>
      <x:c r="K7" s="40" t="n">
        <x:f>'02 Prior Year Sales'!K20</x:f>
        <x:v>33000</x:v>
      </x:c>
      <x:c r="L7" s="40" t="n">
        <x:f>'02 Prior Year Sales'!L20</x:f>
        <x:v>60500</x:v>
      </x:c>
      <x:c r="M7" s="40" t="n">
        <x:f>'02 Prior Year Sales'!M20</x:f>
        <x:v>65500</x:v>
      </x:c>
      <x:c r="N7" s="40" t="n">
        <x:f>'02 Prior Year Sales'!N20</x:f>
        <x:v>40000</x:v>
      </x:c>
      <x:c r="O7" s="40" t="n">
        <x:f>'02 Prior Year Sales'!O20</x:f>
        <x:v>38500</x:v>
      </x:c>
      <x:c r="P7" s="40" t="n">
        <x:f>SUM(D7:O7)</x:f>
        <x:v>528500</x:v>
      </x:c>
    </x:row>
    <x:row r="8">
      <x:c r="B8" s="27" t="str">
        <x:v>Direct delivery costs</x:v>
      </x:c>
      <x:c r="C8" s="27" t="str">
        <x:v>Variable and program specific</x:v>
      </x:c>
      <x:c r="D8" s="40" t="n">
        <x:f>-D7*0.4</x:f>
        <x:v>-17800</x:v>
      </x:c>
      <x:c r="E8" s="40" t="n">
        <x:f>-E7*0.41</x:f>
        <x:v>-20705</x:v>
      </x:c>
      <x:c r="F8" s="40" t="n">
        <x:f>-F7*0.39</x:f>
        <x:v>-17745</x:v>
      </x:c>
      <x:c r="G8" s="40" t="n">
        <x:f>-G7*0.42</x:f>
        <x:v>-26670</x:v>
      </x:c>
      <x:c r="H8" s="40" t="n">
        <x:f>-H7*0.41</x:f>
        <x:v>-17630</x:v>
      </x:c>
      <x:c r="I8" s="40" t="n">
        <x:f>-I7*0.4</x:f>
        <x:v>-11600</x:v>
      </x:c>
      <x:c r="J8" s="40" t="n">
        <x:f>-J7*0.43</x:f>
        <x:v>-6450</x:v>
      </x:c>
      <x:c r="K8" s="40" t="n">
        <x:f>-K7*0.42</x:f>
        <x:v>-13860</x:v>
      </x:c>
      <x:c r="L8" s="40" t="n">
        <x:f>-L7*0.39</x:f>
        <x:v>-23595</x:v>
      </x:c>
      <x:c r="M8" s="40" t="n">
        <x:f>-M7*0.4</x:f>
        <x:v>-26200</x:v>
      </x:c>
      <x:c r="N8" s="40" t="n">
        <x:f>-N7*0.41</x:f>
        <x:v>-16400</x:v>
      </x:c>
      <x:c r="O8" s="40" t="n">
        <x:f>-O7*0.4</x:f>
        <x:v>-15400</x:v>
      </x:c>
      <x:c r="P8" s="40" t="n">
        <x:f>SUM(D8:O8)</x:f>
        <x:v>-214055</x:v>
      </x:c>
    </x:row>
    <x:row r="9">
      <x:c r="B9" s="59" t="str">
        <x:v>Contribution</x:v>
      </x:c>
      <x:c r="C9" s="59" t="str"/>
      <x:c r="D9" s="60" t="n">
        <x:f>SUM(D7:D8)</x:f>
        <x:v>26700</x:v>
      </x:c>
      <x:c r="E9" s="60" t="n">
        <x:f>SUM(E7:E8)</x:f>
        <x:v>29795</x:v>
      </x:c>
      <x:c r="F9" s="60" t="n">
        <x:f>SUM(F7:F8)</x:f>
        <x:v>27755</x:v>
      </x:c>
      <x:c r="G9" s="60" t="n">
        <x:f>SUM(G7:G8)</x:f>
        <x:v>36830</x:v>
      </x:c>
      <x:c r="H9" s="60" t="n">
        <x:f>SUM(H7:H8)</x:f>
        <x:v>25370</x:v>
      </x:c>
      <x:c r="I9" s="60" t="n">
        <x:f>SUM(I7:I8)</x:f>
        <x:v>17400</x:v>
      </x:c>
      <x:c r="J9" s="60" t="n">
        <x:f>SUM(J7:J8)</x:f>
        <x:v>8550</x:v>
      </x:c>
      <x:c r="K9" s="60" t="n">
        <x:f>SUM(K7:K8)</x:f>
        <x:v>19140</x:v>
      </x:c>
      <x:c r="L9" s="60" t="n">
        <x:f>SUM(L7:L8)</x:f>
        <x:v>36905</x:v>
      </x:c>
      <x:c r="M9" s="60" t="n">
        <x:f>SUM(M7:M8)</x:f>
        <x:v>39300</x:v>
      </x:c>
      <x:c r="N9" s="60" t="n">
        <x:f>SUM(N7:N8)</x:f>
        <x:v>23600</x:v>
      </x:c>
      <x:c r="O9" s="60" t="n">
        <x:f>SUM(O7:O8)</x:f>
        <x:v>23100</x:v>
      </x:c>
      <x:c r="P9" s="60" t="n">
        <x:f>SUM(D9:O9)</x:f>
        <x:v>314445</x:v>
      </x:c>
    </x:row>
    <x:row r="10">
      <x:c r="B10" s="59" t="str">
        <x:v>Contribution margin</x:v>
      </x:c>
      <x:c r="C10" s="59" t="str"/>
      <x:c r="D10" s="61" t="n">
        <x:f>D9/D7</x:f>
        <x:v>0.6</x:v>
      </x:c>
      <x:c r="E10" s="61" t="n">
        <x:f>E9/E7</x:f>
        <x:v>0.59</x:v>
      </x:c>
      <x:c r="F10" s="61" t="n">
        <x:f>F9/F7</x:f>
        <x:v>0.61</x:v>
      </x:c>
      <x:c r="G10" s="61" t="n">
        <x:f>G9/G7</x:f>
        <x:v>0.58</x:v>
      </x:c>
      <x:c r="H10" s="61" t="n">
        <x:f>H9/H7</x:f>
        <x:v>0.59</x:v>
      </x:c>
      <x:c r="I10" s="61" t="n">
        <x:f>I9/I7</x:f>
        <x:v>0.6</x:v>
      </x:c>
      <x:c r="J10" s="61" t="n">
        <x:f>J9/J7</x:f>
        <x:v>0.57</x:v>
      </x:c>
      <x:c r="K10" s="61" t="n">
        <x:f>K9/K7</x:f>
        <x:v>0.58</x:v>
      </x:c>
      <x:c r="L10" s="61" t="n">
        <x:f>L9/L7</x:f>
        <x:v>0.61</x:v>
      </x:c>
      <x:c r="M10" s="61" t="n">
        <x:f>M9/M7</x:f>
        <x:v>0.6</x:v>
      </x:c>
      <x:c r="N10" s="61" t="n">
        <x:f>N9/N7</x:f>
        <x:v>0.59</x:v>
      </x:c>
      <x:c r="O10" s="61" t="n">
        <x:f>O9/O7</x:f>
        <x:v>0.6</x:v>
      </x:c>
      <x:c r="P10" s="61" t="n">
        <x:f>P9/P7</x:f>
        <x:v>0.5949763481551561</x:v>
      </x:c>
    </x:row>
    <x:row r="11">
      <x:c r="B11" s="27" t="str">
        <x:v>Personnel costs</x:v>
      </x:c>
      <x:c r="C11" s="27" t="str">
        <x:v>Operating expense</x:v>
      </x:c>
      <x:c r="D11" s="40" t="n">
        <x:v>-15000</x:v>
      </x:c>
      <x:c r="E11" s="40" t="n">
        <x:v>-15000</x:v>
      </x:c>
      <x:c r="F11" s="40" t="n">
        <x:v>-15000</x:v>
      </x:c>
      <x:c r="G11" s="40" t="n">
        <x:v>-15000</x:v>
      </x:c>
      <x:c r="H11" s="40" t="n">
        <x:v>-15000</x:v>
      </x:c>
      <x:c r="I11" s="40" t="n">
        <x:v>-15000</x:v>
      </x:c>
      <x:c r="J11" s="40" t="n">
        <x:v>-15000</x:v>
      </x:c>
      <x:c r="K11" s="40" t="n">
        <x:v>-15000</x:v>
      </x:c>
      <x:c r="L11" s="40" t="n">
        <x:v>-15000</x:v>
      </x:c>
      <x:c r="M11" s="40" t="n">
        <x:v>-15000</x:v>
      </x:c>
      <x:c r="N11" s="40" t="n">
        <x:v>-15000</x:v>
      </x:c>
      <x:c r="O11" s="40" t="n">
        <x:v>-15000</x:v>
      </x:c>
      <x:c r="P11" s="40" t="n">
        <x:f>SUM(D11:O11)</x:f>
        <x:v>-180000</x:v>
      </x:c>
    </x:row>
    <x:row r="12">
      <x:c r="B12" s="27" t="str">
        <x:v>Marketing</x:v>
      </x:c>
      <x:c r="C12" s="27" t="str">
        <x:v>Operating expense</x:v>
      </x:c>
      <x:c r="D12" s="40" t="n">
        <x:v>-6000</x:v>
      </x:c>
      <x:c r="E12" s="40" t="n">
        <x:v>-5000</x:v>
      </x:c>
      <x:c r="F12" s="40" t="n">
        <x:v>-6500</x:v>
      </x:c>
      <x:c r="G12" s="40" t="n">
        <x:v>-6500</x:v>
      </x:c>
      <x:c r="H12" s="40" t="n">
        <x:v>-5000</x:v>
      </x:c>
      <x:c r="I12" s="40" t="n">
        <x:v>-4000</x:v>
      </x:c>
      <x:c r="J12" s="40" t="n">
        <x:v>-2500</x:v>
      </x:c>
      <x:c r="K12" s="40" t="n">
        <x:v>-3500</x:v>
      </x:c>
      <x:c r="L12" s="40" t="n">
        <x:v>-7500</x:v>
      </x:c>
      <x:c r="M12" s="40" t="n">
        <x:v>-8000</x:v>
      </x:c>
      <x:c r="N12" s="40" t="n">
        <x:v>-6500</x:v>
      </x:c>
      <x:c r="O12" s="40" t="n">
        <x:v>-4500</x:v>
      </x:c>
      <x:c r="P12" s="40" t="n">
        <x:f>SUM(D12:O12)</x:f>
        <x:v>-65500</x:v>
      </x:c>
    </x:row>
    <x:row r="13">
      <x:c r="B13" s="27" t="str">
        <x:v>Office and administration</x:v>
      </x:c>
      <x:c r="C13" s="27" t="str">
        <x:v>Operating expense</x:v>
      </x:c>
      <x:c r="D13" s="40" t="n">
        <x:v>-6000</x:v>
      </x:c>
      <x:c r="E13" s="40" t="n">
        <x:v>-6000</x:v>
      </x:c>
      <x:c r="F13" s="40" t="n">
        <x:v>-6000</x:v>
      </x:c>
      <x:c r="G13" s="40" t="n">
        <x:v>-6000</x:v>
      </x:c>
      <x:c r="H13" s="40" t="n">
        <x:v>-6000</x:v>
      </x:c>
      <x:c r="I13" s="40" t="n">
        <x:v>-6000</x:v>
      </x:c>
      <x:c r="J13" s="40" t="n">
        <x:v>-6000</x:v>
      </x:c>
      <x:c r="K13" s="40" t="n">
        <x:v>-6000</x:v>
      </x:c>
      <x:c r="L13" s="40" t="n">
        <x:v>-6000</x:v>
      </x:c>
      <x:c r="M13" s="40" t="n">
        <x:v>-6000</x:v>
      </x:c>
      <x:c r="N13" s="40" t="n">
        <x:v>-6000</x:v>
      </x:c>
      <x:c r="O13" s="40" t="n">
        <x:v>-6000</x:v>
      </x:c>
      <x:c r="P13" s="40" t="n">
        <x:f>SUM(D13:O13)</x:f>
        <x:v>-72000</x:v>
      </x:c>
    </x:row>
    <x:row r="14">
      <x:c r="B14" s="27" t="str">
        <x:v>Depreciation and interest</x:v>
      </x:c>
      <x:c r="C14" s="27" t="str">
        <x:v>Operating expense</x:v>
      </x:c>
      <x:c r="D14" s="40" t="n">
        <x:v>-1050</x:v>
      </x:c>
      <x:c r="E14" s="40" t="n">
        <x:v>-1050</x:v>
      </x:c>
      <x:c r="F14" s="40" t="n">
        <x:v>-1050</x:v>
      </x:c>
      <x:c r="G14" s="40" t="n">
        <x:v>-1050</x:v>
      </x:c>
      <x:c r="H14" s="40" t="n">
        <x:v>-1050</x:v>
      </x:c>
      <x:c r="I14" s="40" t="n">
        <x:v>-1050</x:v>
      </x:c>
      <x:c r="J14" s="40" t="n">
        <x:v>-1050</x:v>
      </x:c>
      <x:c r="K14" s="40" t="n">
        <x:v>-1050</x:v>
      </x:c>
      <x:c r="L14" s="40" t="n">
        <x:v>-1050</x:v>
      </x:c>
      <x:c r="M14" s="40" t="n">
        <x:v>-1050</x:v>
      </x:c>
      <x:c r="N14" s="40" t="n">
        <x:v>-1050</x:v>
      </x:c>
      <x:c r="O14" s="40" t="n">
        <x:v>-1050</x:v>
      </x:c>
      <x:c r="P14" s="40" t="n">
        <x:f>SUM(D14:O14)</x:f>
        <x:v>-12600</x:v>
      </x:c>
    </x:row>
    <x:row r="15">
      <x:c r="B15" s="62" t="str">
        <x:v>Operating profit</x:v>
      </x:c>
      <x:c r="C15" s="62" t="str"/>
      <x:c r="D15" s="63" t="n">
        <x:f>SUM(D9,D11:D14)</x:f>
        <x:v>-1350</x:v>
      </x:c>
      <x:c r="E15" s="63" t="n">
        <x:f>SUM(E9,E11:E14)</x:f>
        <x:v>2745</x:v>
      </x:c>
      <x:c r="F15" s="63" t="n">
        <x:f>SUM(F9,F11:F14)</x:f>
        <x:v>-795</x:v>
      </x:c>
      <x:c r="G15" s="63" t="n">
        <x:f>SUM(G9,G11:G14)</x:f>
        <x:v>8280</x:v>
      </x:c>
      <x:c r="H15" s="63" t="n">
        <x:f>SUM(H9,H11:H14)</x:f>
        <x:v>-1680</x:v>
      </x:c>
      <x:c r="I15" s="63" t="n">
        <x:f>SUM(I9,I11:I14)</x:f>
        <x:v>-8650</x:v>
      </x:c>
      <x:c r="J15" s="63" t="n">
        <x:f>SUM(J9,J11:J14)</x:f>
        <x:v>-16000</x:v>
      </x:c>
      <x:c r="K15" s="63" t="n">
        <x:f>SUM(K9,K11:K14)</x:f>
        <x:v>-6410</x:v>
      </x:c>
      <x:c r="L15" s="63" t="n">
        <x:f>SUM(L9,L11:L14)</x:f>
        <x:v>7355</x:v>
      </x:c>
      <x:c r="M15" s="63" t="n">
        <x:f>SUM(M9,M11:M14)</x:f>
        <x:v>9250</x:v>
      </x:c>
      <x:c r="N15" s="63" t="n">
        <x:f>SUM(N9,N11:N14)</x:f>
        <x:v>-4950</x:v>
      </x:c>
      <x:c r="O15" s="63" t="n">
        <x:f>SUM(O9,O11:O14)</x:f>
        <x:v>-3450</x:v>
      </x:c>
      <x:c r="P15" s="63" t="n">
        <x:f>SUM(D15:O15)</x:f>
        <x:v>-15655</x:v>
      </x:c>
    </x:row>
    <x:row r="16">
      <x:c r="B16" s="62" t="str">
        <x:v>Operating margin</x:v>
      </x:c>
      <x:c r="C16" s="62" t="str"/>
      <x:c r="D16" s="64" t="n">
        <x:f>D15/D7</x:f>
        <x:v>-0.030337078651685393</x:v>
      </x:c>
      <x:c r="E16" s="64" t="n">
        <x:f>E15/E7</x:f>
        <x:v>0.054356435643564356</x:v>
      </x:c>
      <x:c r="F16" s="64" t="n">
        <x:f>F15/F7</x:f>
        <x:v>-0.017472527472527474</x:v>
      </x:c>
      <x:c r="G16" s="64" t="n">
        <x:f>G15/G7</x:f>
        <x:v>0.13039370078740156</x:v>
      </x:c>
      <x:c r="H16" s="64" t="n">
        <x:f>H15/H7</x:f>
        <x:v>-0.03906976744186046</x:v>
      </x:c>
      <x:c r="I16" s="64" t="n">
        <x:f>I15/I7</x:f>
        <x:v>-0.2982758620689655</x:v>
      </x:c>
      <x:c r="J16" s="64" t="n">
        <x:f>J15/J7</x:f>
        <x:v>-1.0666666666666667</x:v>
      </x:c>
      <x:c r="K16" s="64" t="n">
        <x:f>K15/K7</x:f>
        <x:v>-0.19424242424242424</x:v>
      </x:c>
      <x:c r="L16" s="64" t="n">
        <x:f>L15/L7</x:f>
        <x:v>0.1215702479338843</x:v>
      </x:c>
      <x:c r="M16" s="64" t="n">
        <x:f>M15/M7</x:f>
        <x:v>0.14122137404580154</x:v>
      </x:c>
      <x:c r="N16" s="64" t="n">
        <x:f>N15/N7</x:f>
        <x:v>-0.12375</x:v>
      </x:c>
      <x:c r="O16" s="64" t="n">
        <x:f>O15/O7</x:f>
        <x:v>-0.08961038961038961</x:v>
      </x:c>
      <x:c r="P16" s="64" t="n">
        <x:f>P15/P7</x:f>
        <x:v>-0.029621570482497635</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2" hidden="0" customWidth="1"/>
    <x:col min="2" max="2" width="24" hidden="0" customWidth="1"/>
    <x:col min="3" max="3" width="2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4" hidden="0" customWidth="1"/>
  </x:cols>
  <x:sheetData>
    <x:row r="2">
      <x:c r="B2" s="24" t="str">
        <x:v>Prior Year Sales</x:v>
      </x:c>
      <x:c r="C2" s="25"/>
      <x:c r="D2" s="25"/>
      <x:c r="E2" s="25"/>
      <x:c r="F2" s="25"/>
      <x:c r="G2" s="25"/>
      <x:c r="H2" s="25"/>
      <x:c r="I2" s="25"/>
      <x:c r="J2" s="25"/>
      <x:c r="K2" s="25"/>
      <x:c r="L2" s="25"/>
      <x:c r="M2" s="25"/>
      <x:c r="N2" s="25"/>
      <x:c r="O2" s="25"/>
      <x:c r="P2" s="25"/>
    </x:row>
    <x:row r="3">
      <x:c r="B3" s="26" t="str">
        <x:v>2025 actual revenue by salesperson and product. EUR excluding VAT.</x:v>
      </x:c>
      <x:c r="C3" s="26"/>
      <x:c r="D3" s="26"/>
      <x:c r="E3" s="26"/>
      <x:c r="F3" s="26"/>
      <x:c r="G3" s="26"/>
      <x:c r="H3" s="26"/>
      <x:c r="I3" s="26"/>
      <x:c r="J3" s="26"/>
      <x:c r="K3" s="26"/>
      <x:c r="L3" s="26"/>
      <x:c r="M3" s="26"/>
      <x:c r="N3" s="26"/>
      <x:c r="O3" s="26"/>
      <x:c r="P3" s="26"/>
    </x:row>
    <x:row r="4">
      <x:c r="B4" s="27"/>
      <x:c r="C4" s="27"/>
      <x:c r="D4" s="27"/>
      <x:c r="E4" s="27"/>
      <x:c r="F4" s="27"/>
      <x:c r="G4" s="27"/>
      <x:c r="H4" s="27"/>
      <x:c r="I4" s="27"/>
      <x:c r="J4" s="27"/>
      <x:c r="K4" s="27"/>
      <x:c r="L4" s="27"/>
      <x:c r="M4" s="27"/>
      <x:c r="N4" s="27"/>
      <x:c r="O4" s="27"/>
      <x:c r="P4" s="27"/>
    </x:row>
    <x:row r="5">
      <x:c r="B5" s="27"/>
      <x:c r="C5" s="27"/>
      <x:c r="D5" s="27"/>
      <x:c r="E5" s="27"/>
      <x:c r="F5" s="27"/>
      <x:c r="G5" s="27"/>
      <x:c r="H5" s="27"/>
      <x:c r="I5" s="27"/>
      <x:c r="J5" s="27"/>
      <x:c r="K5" s="27"/>
      <x:c r="L5" s="27"/>
      <x:c r="M5" s="27"/>
      <x:c r="N5" s="27"/>
      <x:c r="O5" s="27"/>
      <x:c r="P5" s="27"/>
    </x:row>
    <x:row r="6">
      <x:c r="B6" s="8" t="str">
        <x:v>Salesperson</x:v>
      </x:c>
      <x:c r="C6" s="8" t="str">
        <x:v>Product</x:v>
      </x:c>
      <x:c r="D6" s="8" t="str">
        <x:v>Jan</x:v>
      </x:c>
      <x:c r="E6" s="8" t="str">
        <x:v>Feb</x:v>
      </x:c>
      <x:c r="F6" s="8" t="str">
        <x:v>Mar</x:v>
      </x:c>
      <x:c r="G6" s="8" t="str">
        <x:v>Apr</x:v>
      </x:c>
      <x:c r="H6" s="8" t="str">
        <x:v>May</x:v>
      </x:c>
      <x:c r="I6" s="8" t="str">
        <x:v>Jun</x:v>
      </x:c>
      <x:c r="J6" s="8" t="str">
        <x:v>Jul</x:v>
      </x:c>
      <x:c r="K6" s="8" t="str">
        <x:v>Aug</x:v>
      </x:c>
      <x:c r="L6" s="8" t="str">
        <x:v>Sep</x:v>
      </x:c>
      <x:c r="M6" s="8" t="str">
        <x:v>Oct</x:v>
      </x:c>
      <x:c r="N6" s="8" t="str">
        <x:v>Nov</x:v>
      </x:c>
      <x:c r="O6" s="8" t="str">
        <x:v>Dec</x:v>
      </x:c>
      <x:c r="P6" s="8" t="str">
        <x:v>FY Total</x:v>
      </x:c>
    </x:row>
    <x:row r="7">
      <x:c r="B7" s="27" t="str">
        <x:v>Anna Power</x:v>
      </x:c>
      <x:c r="C7" s="27" t="str">
        <x:v>Corporate management training</x:v>
      </x:c>
      <x:c r="D7" s="40" t="n">
        <x:v>12000</x:v>
      </x:c>
      <x:c r="E7" s="40" t="n">
        <x:v>7500</x:v>
      </x:c>
      <x:c r="F7" s="40" t="n">
        <x:v>10000</x:v>
      </x:c>
      <x:c r="G7" s="40" t="n">
        <x:v>12500</x:v>
      </x:c>
      <x:c r="H7" s="40" t="n">
        <x:v>7500</x:v>
      </x:c>
      <x:c r="I7" s="40" t="n">
        <x:v>5000</x:v>
      </x:c>
      <x:c r="J7" s="40" t="n">
        <x:v>2500</x:v>
      </x:c>
      <x:c r="K7" s="40" t="n">
        <x:v>5000</x:v>
      </x:c>
      <x:c r="L7" s="40" t="n">
        <x:v>12500</x:v>
      </x:c>
      <x:c r="M7" s="40" t="n">
        <x:v>15000</x:v>
      </x:c>
      <x:c r="N7" s="40" t="n">
        <x:v>5000</x:v>
      </x:c>
      <x:c r="O7" s="40" t="n">
        <x:v>7500</x:v>
      </x:c>
      <x:c r="P7" s="40" t="n">
        <x:f>SUM(D7:O7)</x:f>
        <x:v>102000</x:v>
      </x:c>
    </x:row>
    <x:row r="8">
      <x:c r="B8" s="27" t="str">
        <x:v>Anna Power</x:v>
      </x:c>
      <x:c r="C8" s="27" t="str">
        <x:v>Corporate sales training</x:v>
      </x:c>
      <x:c r="D8" s="40" t="n">
        <x:v>2500</x:v>
      </x:c>
      <x:c r="E8" s="40" t="n">
        <x:v>2500</x:v>
      </x:c>
      <x:c r="F8" s="40" t="n">
        <x:v>5000</x:v>
      </x:c>
      <x:c r="G8" s="40" t="n">
        <x:v>5000</x:v>
      </x:c>
      <x:c r="H8" s="40" t="n">
        <x:v>2500</x:v>
      </x:c>
      <x:c r="I8" s="40" t="n">
        <x:v>2500</x:v>
      </x:c>
      <x:c r="J8" s="40" t="n">
        <x:v>0</x:v>
      </x:c>
      <x:c r="K8" s="40" t="n">
        <x:v>2500</x:v>
      </x:c>
      <x:c r="L8" s="40" t="n">
        <x:v>2500</x:v>
      </x:c>
      <x:c r="M8" s="40" t="n">
        <x:v>5000</x:v>
      </x:c>
      <x:c r="N8" s="40" t="n">
        <x:v>2500</x:v>
      </x:c>
      <x:c r="O8" s="40" t="n">
        <x:v>2500</x:v>
      </x:c>
      <x:c r="P8" s="40" t="n">
        <x:f>SUM(D8:O8)</x:f>
        <x:v>35000</x:v>
      </x:c>
    </x:row>
    <x:row r="9">
      <x:c r="B9" s="27" t="str">
        <x:v>Anna Power</x:v>
      </x:c>
      <x:c r="C9" s="27" t="str">
        <x:v>Open program seats</x:v>
      </x:c>
      <x:c r="D9" s="40" t="n">
        <x:v>1000</x:v>
      </x:c>
      <x:c r="E9" s="40" t="n">
        <x:v>1500</x:v>
      </x:c>
      <x:c r="F9" s="40" t="n">
        <x:v>1500</x:v>
      </x:c>
      <x:c r="G9" s="40" t="n">
        <x:v>2000</x:v>
      </x:c>
      <x:c r="H9" s="40" t="n">
        <x:v>1500</x:v>
      </x:c>
      <x:c r="I9" s="40" t="n">
        <x:v>1000</x:v>
      </x:c>
      <x:c r="J9" s="40" t="n">
        <x:v>500</x:v>
      </x:c>
      <x:c r="K9" s="40" t="n">
        <x:v>1000</x:v>
      </x:c>
      <x:c r="L9" s="40" t="n">
        <x:v>2000</x:v>
      </x:c>
      <x:c r="M9" s="40" t="n">
        <x:v>2500</x:v>
      </x:c>
      <x:c r="N9" s="40" t="n">
        <x:v>1500</x:v>
      </x:c>
      <x:c r="O9" s="40" t="n">
        <x:v>1500</x:v>
      </x:c>
      <x:c r="P9" s="40" t="n">
        <x:f>SUM(D9:O9)</x:f>
        <x:v>17500</x:v>
      </x:c>
    </x:row>
    <x:row r="10">
      <x:c r="B10" s="27" t="str">
        <x:v>Mark Pressure</x:v>
      </x:c>
      <x:c r="C10" s="27" t="str">
        <x:v>Corporate management training</x:v>
      </x:c>
      <x:c r="D10" s="40" t="n">
        <x:v>2500</x:v>
      </x:c>
      <x:c r="E10" s="40" t="n">
        <x:v>2500</x:v>
      </x:c>
      <x:c r="F10" s="40" t="n">
        <x:v>2500</x:v>
      </x:c>
      <x:c r="G10" s="40" t="n">
        <x:v>5000</x:v>
      </x:c>
      <x:c r="H10" s="40" t="n">
        <x:v>2500</x:v>
      </x:c>
      <x:c r="I10" s="40" t="n">
        <x:v>2500</x:v>
      </x:c>
      <x:c r="J10" s="40" t="n">
        <x:v>2500</x:v>
      </x:c>
      <x:c r="K10" s="40" t="n">
        <x:v>2500</x:v>
      </x:c>
      <x:c r="L10" s="40" t="n">
        <x:v>5000</x:v>
      </x:c>
      <x:c r="M10" s="40" t="n">
        <x:v>2500</x:v>
      </x:c>
      <x:c r="N10" s="40" t="n">
        <x:v>2500</x:v>
      </x:c>
      <x:c r="O10" s="40" t="n">
        <x:v>2500</x:v>
      </x:c>
      <x:c r="P10" s="40" t="n">
        <x:f>SUM(D10:O10)</x:f>
        <x:v>35000</x:v>
      </x:c>
    </x:row>
    <x:row r="11">
      <x:c r="B11" s="27" t="str">
        <x:v>Mark Pressure</x:v>
      </x:c>
      <x:c r="C11" s="27" t="str">
        <x:v>Corporate sales training</x:v>
      </x:c>
      <x:c r="D11" s="40" t="n">
        <x:v>10000</x:v>
      </x:c>
      <x:c r="E11" s="40" t="n">
        <x:v>12500</x:v>
      </x:c>
      <x:c r="F11" s="40" t="n">
        <x:v>7500</x:v>
      </x:c>
      <x:c r="G11" s="40" t="n">
        <x:v>12500</x:v>
      </x:c>
      <x:c r="H11" s="40" t="n">
        <x:v>10000</x:v>
      </x:c>
      <x:c r="I11" s="40" t="n">
        <x:v>7500</x:v>
      </x:c>
      <x:c r="J11" s="40" t="n">
        <x:v>5000</x:v>
      </x:c>
      <x:c r="K11" s="40" t="n">
        <x:v>7500</x:v>
      </x:c>
      <x:c r="L11" s="40" t="n">
        <x:v>12500</x:v>
      </x:c>
      <x:c r="M11" s="40" t="n">
        <x:v>12500</x:v>
      </x:c>
      <x:c r="N11" s="40" t="n">
        <x:v>10000</x:v>
      </x:c>
      <x:c r="O11" s="40" t="n">
        <x:v>7500</x:v>
      </x:c>
      <x:c r="P11" s="40" t="n">
        <x:f>SUM(D11:O11)</x:f>
        <x:v>115000</x:v>
      </x:c>
    </x:row>
    <x:row r="12">
      <x:c r="B12" s="27" t="str">
        <x:v>Mark Pressure</x:v>
      </x:c>
      <x:c r="C12" s="27" t="str">
        <x:v>Open program seats</x:v>
      </x:c>
      <x:c r="D12" s="40" t="n">
        <x:v>1500</x:v>
      </x:c>
      <x:c r="E12" s="40" t="n">
        <x:v>2000</x:v>
      </x:c>
      <x:c r="F12" s="40" t="n">
        <x:v>1500</x:v>
      </x:c>
      <x:c r="G12" s="40" t="n">
        <x:v>2500</x:v>
      </x:c>
      <x:c r="H12" s="40" t="n">
        <x:v>2000</x:v>
      </x:c>
      <x:c r="I12" s="40" t="n">
        <x:v>1500</x:v>
      </x:c>
      <x:c r="J12" s="40" t="n">
        <x:v>500</x:v>
      </x:c>
      <x:c r="K12" s="40" t="n">
        <x:v>1000</x:v>
      </x:c>
      <x:c r="L12" s="40" t="n">
        <x:v>2500</x:v>
      </x:c>
      <x:c r="M12" s="40" t="n">
        <x:v>3000</x:v>
      </x:c>
      <x:c r="N12" s="40" t="n">
        <x:v>2000</x:v>
      </x:c>
      <x:c r="O12" s="40" t="n">
        <x:v>1500</x:v>
      </x:c>
      <x:c r="P12" s="40" t="n">
        <x:f>SUM(D12:O12)</x:f>
        <x:v>21500</x:v>
      </x:c>
    </x:row>
    <x:row r="13">
      <x:c r="B13" s="27" t="str">
        <x:v>Linda Smile</x:v>
      </x:c>
      <x:c r="C13" s="27" t="str">
        <x:v>Corporate management training</x:v>
      </x:c>
      <x:c r="D13" s="40" t="n">
        <x:v>2500</x:v>
      </x:c>
      <x:c r="E13" s="40" t="n">
        <x:v>5000</x:v>
      </x:c>
      <x:c r="F13" s="40" t="n">
        <x:v>2500</x:v>
      </x:c>
      <x:c r="G13" s="40" t="n">
        <x:v>5000</x:v>
      </x:c>
      <x:c r="H13" s="40" t="n">
        <x:v>2500</x:v>
      </x:c>
      <x:c r="I13" s="40" t="n">
        <x:v>2500</x:v>
      </x:c>
      <x:c r="J13" s="40" t="n">
        <x:v>0</x:v>
      </x:c>
      <x:c r="K13" s="40" t="n">
        <x:v>2500</x:v>
      </x:c>
      <x:c r="L13" s="40" t="n">
        <x:v>5000</x:v>
      </x:c>
      <x:c r="M13" s="40" t="n">
        <x:v>5000</x:v>
      </x:c>
      <x:c r="N13" s="40" t="n">
        <x:v>2500</x:v>
      </x:c>
      <x:c r="O13" s="40" t="n">
        <x:v>2500</x:v>
      </x:c>
      <x:c r="P13" s="40" t="n">
        <x:f>SUM(D13:O13)</x:f>
        <x:v>37500</x:v>
      </x:c>
    </x:row>
    <x:row r="14">
      <x:c r="B14" s="27" t="str">
        <x:v>Linda Smile</x:v>
      </x:c>
      <x:c r="C14" s="27" t="str">
        <x:v>Corporate sales training</x:v>
      </x:c>
      <x:c r="D14" s="40" t="n">
        <x:v>2500</x:v>
      </x:c>
      <x:c r="E14" s="40" t="n">
        <x:v>2500</x:v>
      </x:c>
      <x:c r="F14" s="40" t="n">
        <x:v>5000</x:v>
      </x:c>
      <x:c r="G14" s="40" t="n">
        <x:v>2500</x:v>
      </x:c>
      <x:c r="H14" s="40" t="n">
        <x:v>2500</x:v>
      </x:c>
      <x:c r="I14" s="40" t="n">
        <x:v>0</x:v>
      </x:c>
      <x:c r="J14" s="40" t="n">
        <x:v>2500</x:v>
      </x:c>
      <x:c r="K14" s="40" t="n">
        <x:v>2500</x:v>
      </x:c>
      <x:c r="L14" s="40" t="n">
        <x:v>2500</x:v>
      </x:c>
      <x:c r="M14" s="40" t="n">
        <x:v>5000</x:v>
      </x:c>
      <x:c r="N14" s="40" t="n">
        <x:v>2500</x:v>
      </x:c>
      <x:c r="O14" s="40" t="n">
        <x:v>2500</x:v>
      </x:c>
      <x:c r="P14" s="40" t="n">
        <x:f>SUM(D14:O14)</x:f>
        <x:v>32500</x:v>
      </x:c>
    </x:row>
    <x:row r="15">
      <x:c r="B15" s="27" t="str">
        <x:v>Linda Smile</x:v>
      </x:c>
      <x:c r="C15" s="27" t="str">
        <x:v>Open program seats</x:v>
      </x:c>
      <x:c r="D15" s="40" t="n">
        <x:v>3000</x:v>
      </x:c>
      <x:c r="E15" s="40" t="n">
        <x:v>4500</x:v>
      </x:c>
      <x:c r="F15" s="40" t="n">
        <x:v>3000</x:v>
      </x:c>
      <x:c r="G15" s="40" t="n">
        <x:v>6000</x:v>
      </x:c>
      <x:c r="H15" s="40" t="n">
        <x:v>4500</x:v>
      </x:c>
      <x:c r="I15" s="40" t="n">
        <x:v>2500</x:v>
      </x:c>
      <x:c r="J15" s="40" t="n">
        <x:v>1000</x:v>
      </x:c>
      <x:c r="K15" s="40" t="n">
        <x:v>2000</x:v>
      </x:c>
      <x:c r="L15" s="40" t="n">
        <x:v>5500</x:v>
      </x:c>
      <x:c r="M15" s="40" t="n">
        <x:v>6500</x:v>
      </x:c>
      <x:c r="N15" s="40" t="n">
        <x:v>4000</x:v>
      </x:c>
      <x:c r="O15" s="40" t="n">
        <x:v>3500</x:v>
      </x:c>
      <x:c r="P15" s="40" t="n">
        <x:f>SUM(D15:O15)</x:f>
        <x:v>46000</x:v>
      </x:c>
    </x:row>
    <x:row r="16">
      <x:c r="B16" s="27" t="str">
        <x:v>Peter Late</x:v>
      </x:c>
      <x:c r="C16" s="27" t="str">
        <x:v>Corporate management training</x:v>
      </x:c>
      <x:c r="D16" s="40" t="n">
        <x:v>2500</x:v>
      </x:c>
      <x:c r="E16" s="40" t="n">
        <x:v>2500</x:v>
      </x:c>
      <x:c r="F16" s="40" t="n">
        <x:v>2500</x:v>
      </x:c>
      <x:c r="G16" s="40" t="n">
        <x:v>2500</x:v>
      </x:c>
      <x:c r="H16" s="40" t="n">
        <x:v>2500</x:v>
      </x:c>
      <x:c r="I16" s="40" t="n">
        <x:v>0</x:v>
      </x:c>
      <x:c r="J16" s="40" t="n">
        <x:v>0</x:v>
      </x:c>
      <x:c r="K16" s="40" t="n">
        <x:v>2500</x:v>
      </x:c>
      <x:c r="L16" s="40" t="n">
        <x:v>2500</x:v>
      </x:c>
      <x:c r="M16" s="40" t="n">
        <x:v>2500</x:v>
      </x:c>
      <x:c r="N16" s="40" t="n">
        <x:v>2500</x:v>
      </x:c>
      <x:c r="O16" s="40" t="n">
        <x:v>2500</x:v>
      </x:c>
      <x:c r="P16" s="40" t="n">
        <x:f>SUM(D16:O16)</x:f>
        <x:v>25000</x:v>
      </x:c>
    </x:row>
    <x:row r="17">
      <x:c r="B17" s="27" t="str">
        <x:v>Peter Late</x:v>
      </x:c>
      <x:c r="C17" s="27" t="str">
        <x:v>Corporate sales training</x:v>
      </x:c>
      <x:c r="D17" s="40" t="n">
        <x:v>2500</x:v>
      </x:c>
      <x:c r="E17" s="40" t="n">
        <x:v>5000</x:v>
      </x:c>
      <x:c r="F17" s="40" t="n">
        <x:v>2500</x:v>
      </x:c>
      <x:c r="G17" s="40" t="n">
        <x:v>5000</x:v>
      </x:c>
      <x:c r="H17" s="40" t="n">
        <x:v>2500</x:v>
      </x:c>
      <x:c r="I17" s="40" t="n">
        <x:v>2500</x:v>
      </x:c>
      <x:c r="J17" s="40" t="n">
        <x:v>0</x:v>
      </x:c>
      <x:c r="K17" s="40" t="n">
        <x:v>2500</x:v>
      </x:c>
      <x:c r="L17" s="40" t="n">
        <x:v>5000</x:v>
      </x:c>
      <x:c r="M17" s="40" t="n">
        <x:v>2500</x:v>
      </x:c>
      <x:c r="N17" s="40" t="n">
        <x:v>2500</x:v>
      </x:c>
      <x:c r="O17" s="40" t="n">
        <x:v>2500</x:v>
      </x:c>
      <x:c r="P17" s="40" t="n">
        <x:f>SUM(D17:O17)</x:f>
        <x:v>35000</x:v>
      </x:c>
    </x:row>
    <x:row r="18">
      <x:c r="B18" s="27" t="str">
        <x:v>Peter Late</x:v>
      </x:c>
      <x:c r="C18" s="27" t="str">
        <x:v>Open program seats</x:v>
      </x:c>
      <x:c r="D18" s="40" t="n">
        <x:v>2000</x:v>
      </x:c>
      <x:c r="E18" s="40" t="n">
        <x:v>2500</x:v>
      </x:c>
      <x:c r="F18" s="40" t="n">
        <x:v>2000</x:v>
      </x:c>
      <x:c r="G18" s="40" t="n">
        <x:v>3000</x:v>
      </x:c>
      <x:c r="H18" s="40" t="n">
        <x:v>2500</x:v>
      </x:c>
      <x:c r="I18" s="40" t="n">
        <x:v>1500</x:v>
      </x:c>
      <x:c r="J18" s="40" t="n">
        <x:v>500</x:v>
      </x:c>
      <x:c r="K18" s="40" t="n">
        <x:v>1500</x:v>
      </x:c>
      <x:c r="L18" s="40" t="n">
        <x:v>3000</x:v>
      </x:c>
      <x:c r="M18" s="40" t="n">
        <x:v>3500</x:v>
      </x:c>
      <x:c r="N18" s="40" t="n">
        <x:v>2500</x:v>
      </x:c>
      <x:c r="O18" s="40" t="n">
        <x:v>2000</x:v>
      </x:c>
      <x:c r="P18" s="40" t="n">
        <x:f>SUM(D18:O18)</x:f>
        <x:v>26500</x:v>
      </x:c>
    </x:row>
    <x:row r="19">
      <x:c r="B19" s="27"/>
      <x:c r="C19" s="27"/>
      <x:c r="D19" s="40"/>
      <x:c r="E19" s="40"/>
      <x:c r="F19" s="40"/>
      <x:c r="G19" s="40"/>
      <x:c r="H19" s="40"/>
      <x:c r="I19" s="40"/>
      <x:c r="J19" s="40"/>
      <x:c r="K19" s="40"/>
      <x:c r="L19" s="40"/>
      <x:c r="M19" s="40"/>
      <x:c r="N19" s="40"/>
      <x:c r="O19" s="40"/>
      <x:c r="P19" s="40"/>
    </x:row>
    <x:row r="20">
      <x:c r="B20" s="41" t="str">
        <x:v>TOTAL</x:v>
      </x:c>
      <x:c r="C20" s="41" t="str">
        <x:v>All products</x:v>
      </x:c>
      <x:c r="D20" s="42" t="n">
        <x:f>SUM(D7:D18)</x:f>
        <x:v>44500</x:v>
      </x:c>
      <x:c r="E20" s="42" t="n">
        <x:f>SUM(E7:E18)</x:f>
        <x:v>50500</x:v>
      </x:c>
      <x:c r="F20" s="42" t="n">
        <x:f>SUM(F7:F18)</x:f>
        <x:v>45500</x:v>
      </x:c>
      <x:c r="G20" s="42" t="n">
        <x:f>SUM(G7:G18)</x:f>
        <x:v>63500</x:v>
      </x:c>
      <x:c r="H20" s="42" t="n">
        <x:f>SUM(H7:H18)</x:f>
        <x:v>43000</x:v>
      </x:c>
      <x:c r="I20" s="42" t="n">
        <x:f>SUM(I7:I18)</x:f>
        <x:v>29000</x:v>
      </x:c>
      <x:c r="J20" s="42" t="n">
        <x:f>SUM(J7:J18)</x:f>
        <x:v>15000</x:v>
      </x:c>
      <x:c r="K20" s="42" t="n">
        <x:f>SUM(K7:K18)</x:f>
        <x:v>33000</x:v>
      </x:c>
      <x:c r="L20" s="42" t="n">
        <x:f>SUM(L7:L18)</x:f>
        <x:v>60500</x:v>
      </x:c>
      <x:c r="M20" s="42" t="n">
        <x:f>SUM(M7:M18)</x:f>
        <x:v>65500</x:v>
      </x:c>
      <x:c r="N20" s="42" t="n">
        <x:f>SUM(N7:N18)</x:f>
        <x:v>40000</x:v>
      </x:c>
      <x:c r="O20" s="42" t="n">
        <x:f>SUM(O7:O18)</x:f>
        <x:v>38500</x:v>
      </x:c>
      <x:c r="P20" s="42" t="n">
        <x:f>SUM(P7:P18)</x:f>
        <x:v>528500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 hidden="0" customWidth="1"/>
    <x:col min="2" max="2" width="24" hidden="0" customWidth="1"/>
    <x:col min="3" max="3" width="2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4" hidden="0" customWidth="1"/>
  </x:cols>
  <x:sheetData>
    <x:row r="2">
      <x:c r="B2" s="24" t="str">
        <x:v>Prior Year Marketing</x:v>
      </x:c>
      <x:c r="C2" s="25"/>
      <x:c r="D2" s="25"/>
      <x:c r="E2" s="25"/>
      <x:c r="F2" s="25"/>
      <x:c r="G2" s="25"/>
      <x:c r="H2" s="25"/>
      <x:c r="I2" s="25"/>
      <x:c r="J2" s="25"/>
      <x:c r="K2" s="25"/>
      <x:c r="L2" s="25"/>
      <x:c r="M2" s="25"/>
      <x:c r="N2" s="25"/>
      <x:c r="O2" s="25"/>
      <x:c r="P2" s="25"/>
    </x:row>
    <x:row r="3">
      <x:c r="B3" s="26" t="str">
        <x:v>2025 actual activities and commercial results.</x:v>
      </x:c>
      <x:c r="C3" s="26"/>
      <x:c r="D3" s="26"/>
      <x:c r="E3" s="26"/>
      <x:c r="F3" s="26"/>
      <x:c r="G3" s="26"/>
      <x:c r="H3" s="26"/>
      <x:c r="I3" s="26"/>
      <x:c r="J3" s="26"/>
      <x:c r="K3" s="26"/>
      <x:c r="L3" s="26"/>
      <x:c r="M3" s="26"/>
      <x:c r="N3" s="26"/>
      <x:c r="O3" s="26"/>
      <x:c r="P3" s="26"/>
    </x:row>
    <x:row r="4">
      <x:c r="B4" s="27"/>
      <x:c r="C4" s="27"/>
      <x:c r="D4" s="27"/>
      <x:c r="E4" s="27"/>
      <x:c r="F4" s="27"/>
      <x:c r="G4" s="27"/>
      <x:c r="H4" s="27"/>
      <x:c r="I4" s="27"/>
      <x:c r="J4" s="27"/>
      <x:c r="K4" s="27"/>
      <x:c r="L4" s="27"/>
      <x:c r="M4" s="27"/>
      <x:c r="N4" s="27"/>
      <x:c r="O4" s="27"/>
      <x:c r="P4" s="27"/>
    </x:row>
    <x:row r="5">
      <x:c r="B5" s="27"/>
      <x:c r="C5" s="27"/>
      <x:c r="D5" s="27"/>
      <x:c r="E5" s="27"/>
      <x:c r="F5" s="27"/>
      <x:c r="G5" s="27"/>
      <x:c r="H5" s="27"/>
      <x:c r="I5" s="27"/>
      <x:c r="J5" s="27"/>
      <x:c r="K5" s="27"/>
      <x:c r="L5" s="27"/>
      <x:c r="M5" s="27"/>
      <x:c r="N5" s="27"/>
      <x:c r="O5" s="27"/>
      <x:c r="P5" s="27"/>
    </x:row>
    <x:row r="6">
      <x:c r="B6" s="8" t="str">
        <x:v>Metric</x:v>
      </x:c>
      <x:c r="C6" s="8" t="str">
        <x:v>Unit</x:v>
      </x:c>
      <x:c r="D6" s="8" t="str">
        <x:v>Jan</x:v>
      </x:c>
      <x:c r="E6" s="8" t="str">
        <x:v>Feb</x:v>
      </x:c>
      <x:c r="F6" s="8" t="str">
        <x:v>Mar</x:v>
      </x:c>
      <x:c r="G6" s="8" t="str">
        <x:v>Apr</x:v>
      </x:c>
      <x:c r="H6" s="8" t="str">
        <x:v>May</x:v>
      </x:c>
      <x:c r="I6" s="8" t="str">
        <x:v>Jun</x:v>
      </x:c>
      <x:c r="J6" s="8" t="str">
        <x:v>Jul</x:v>
      </x:c>
      <x:c r="K6" s="8" t="str">
        <x:v>Aug</x:v>
      </x:c>
      <x:c r="L6" s="8" t="str">
        <x:v>Sep</x:v>
      </x:c>
      <x:c r="M6" s="8" t="str">
        <x:v>Oct</x:v>
      </x:c>
      <x:c r="N6" s="8" t="str">
        <x:v>Nov</x:v>
      </x:c>
      <x:c r="O6" s="8" t="str">
        <x:v>Dec</x:v>
      </x:c>
      <x:c r="P6" s="8" t="str">
        <x:v>FY Total</x:v>
      </x:c>
    </x:row>
    <x:row r="7">
      <x:c r="B7" s="27" t="str">
        <x:v>Marketing spend</x:v>
      </x:c>
      <x:c r="C7" s="27" t="str">
        <x:v>EUR</x:v>
      </x:c>
      <x:c r="D7" s="40" t="n">
        <x:v>6000</x:v>
      </x:c>
      <x:c r="E7" s="40" t="n">
        <x:v>5000</x:v>
      </x:c>
      <x:c r="F7" s="40" t="n">
        <x:v>6500</x:v>
      </x:c>
      <x:c r="G7" s="40" t="n">
        <x:v>6500</x:v>
      </x:c>
      <x:c r="H7" s="40" t="n">
        <x:v>5000</x:v>
      </x:c>
      <x:c r="I7" s="40" t="n">
        <x:v>4000</x:v>
      </x:c>
      <x:c r="J7" s="40" t="n">
        <x:v>2500</x:v>
      </x:c>
      <x:c r="K7" s="40" t="n">
        <x:v>3500</x:v>
      </x:c>
      <x:c r="L7" s="40" t="n">
        <x:v>7500</x:v>
      </x:c>
      <x:c r="M7" s="40" t="n">
        <x:v>8000</x:v>
      </x:c>
      <x:c r="N7" s="40" t="n">
        <x:v>6500</x:v>
      </x:c>
      <x:c r="O7" s="40" t="n">
        <x:v>4500</x:v>
      </x:c>
      <x:c r="P7" s="40" t="n">
        <x:f>SUM(D7:O7)</x:f>
        <x:v>65500</x:v>
      </x:c>
    </x:row>
    <x:row r="8">
      <x:c r="B8" s="27" t="str">
        <x:v>Campaigns launched</x:v>
      </x:c>
      <x:c r="C8" s="27" t="str">
        <x:v>Count</x:v>
      </x:c>
      <x:c r="D8" s="68" t="n">
        <x:v>3</x:v>
      </x:c>
      <x:c r="E8" s="68" t="n">
        <x:v>2</x:v>
      </x:c>
      <x:c r="F8" s="68" t="n">
        <x:v>3</x:v>
      </x:c>
      <x:c r="G8" s="68" t="n">
        <x:v>3</x:v>
      </x:c>
      <x:c r="H8" s="68" t="n">
        <x:v>2</x:v>
      </x:c>
      <x:c r="I8" s="68" t="n">
        <x:v>2</x:v>
      </x:c>
      <x:c r="J8" s="68" t="n">
        <x:v>1</x:v>
      </x:c>
      <x:c r="K8" s="68" t="n">
        <x:v>2</x:v>
      </x:c>
      <x:c r="L8" s="68" t="n">
        <x:v>4</x:v>
      </x:c>
      <x:c r="M8" s="68" t="n">
        <x:v>4</x:v>
      </x:c>
      <x:c r="N8" s="68" t="n">
        <x:v>3</x:v>
      </x:c>
      <x:c r="O8" s="68" t="n">
        <x:v>2</x:v>
      </x:c>
      <x:c r="P8" s="68" t="n">
        <x:f>SUM(D8:O8)</x:f>
        <x:v>31</x:v>
      </x:c>
    </x:row>
    <x:row r="9">
      <x:c r="B9" s="27" t="str">
        <x:v>Qualified corporate leads</x:v>
      </x:c>
      <x:c r="C9" s="27" t="str">
        <x:v>Count</x:v>
      </x:c>
      <x:c r="D9" s="68" t="n">
        <x:v>24</x:v>
      </x:c>
      <x:c r="E9" s="68" t="n">
        <x:v>20</x:v>
      </x:c>
      <x:c r="F9" s="68" t="n">
        <x:v>27</x:v>
      </x:c>
      <x:c r="G9" s="68" t="n">
        <x:v>29</x:v>
      </x:c>
      <x:c r="H9" s="68" t="n">
        <x:v>23</x:v>
      </x:c>
      <x:c r="I9" s="68" t="n">
        <x:v>18</x:v>
      </x:c>
      <x:c r="J9" s="68" t="n">
        <x:v>10</x:v>
      </x:c>
      <x:c r="K9" s="68" t="n">
        <x:v>15</x:v>
      </x:c>
      <x:c r="L9" s="68" t="n">
        <x:v>34</x:v>
      </x:c>
      <x:c r="M9" s="68" t="n">
        <x:v>38</x:v>
      </x:c>
      <x:c r="N9" s="68" t="n">
        <x:v>30</x:v>
      </x:c>
      <x:c r="O9" s="68" t="n">
        <x:v>20</x:v>
      </x:c>
      <x:c r="P9" s="68" t="n">
        <x:f>SUM(D9:O9)</x:f>
        <x:v>288</x:v>
      </x:c>
    </x:row>
    <x:row r="10">
      <x:c r="B10" s="27" t="str">
        <x:v>Corporate deals won</x:v>
      </x:c>
      <x:c r="C10" s="27" t="str">
        <x:v>Count</x:v>
      </x:c>
      <x:c r="D10" s="68" t="n">
        <x:v>5</x:v>
      </x:c>
      <x:c r="E10" s="68" t="n">
        <x:v>4</x:v>
      </x:c>
      <x:c r="F10" s="68" t="n">
        <x:v>5</x:v>
      </x:c>
      <x:c r="G10" s="68" t="n">
        <x:v>6</x:v>
      </x:c>
      <x:c r="H10" s="68" t="n">
        <x:v>4</x:v>
      </x:c>
      <x:c r="I10" s="68" t="n">
        <x:v>4</x:v>
      </x:c>
      <x:c r="J10" s="68" t="n">
        <x:v>2</x:v>
      </x:c>
      <x:c r="K10" s="68" t="n">
        <x:v>3</x:v>
      </x:c>
      <x:c r="L10" s="68" t="n">
        <x:v>7</x:v>
      </x:c>
      <x:c r="M10" s="68" t="n">
        <x:v>8</x:v>
      </x:c>
      <x:c r="N10" s="68" t="n">
        <x:v>6</x:v>
      </x:c>
      <x:c r="O10" s="68" t="n">
        <x:v>4</x:v>
      </x:c>
      <x:c r="P10" s="68" t="n">
        <x:f>SUM(D10:O10)</x:f>
        <x:v>58</x:v>
      </x:c>
    </x:row>
    <x:row r="11">
      <x:c r="B11" s="27" t="str">
        <x:v>Open program enquiries</x:v>
      </x:c>
      <x:c r="C11" s="27" t="str">
        <x:v>Count</x:v>
      </x:c>
      <x:c r="D11" s="68" t="n">
        <x:v>65</x:v>
      </x:c>
      <x:c r="E11" s="68" t="n">
        <x:v>58</x:v>
      </x:c>
      <x:c r="F11" s="68" t="n">
        <x:v>72</x:v>
      </x:c>
      <x:c r="G11" s="68" t="n">
        <x:v>80</x:v>
      </x:c>
      <x:c r="H11" s="68" t="n">
        <x:v>69</x:v>
      </x:c>
      <x:c r="I11" s="68" t="n">
        <x:v>54</x:v>
      </x:c>
      <x:c r="J11" s="68" t="n">
        <x:v>28</x:v>
      </x:c>
      <x:c r="K11" s="68" t="n">
        <x:v>43</x:v>
      </x:c>
      <x:c r="L11" s="68" t="n">
        <x:v>96</x:v>
      </x:c>
      <x:c r="M11" s="68" t="n">
        <x:v>110</x:v>
      </x:c>
      <x:c r="N11" s="68" t="n">
        <x:v>82</x:v>
      </x:c>
      <x:c r="O11" s="68" t="n">
        <x:v>60</x:v>
      </x:c>
      <x:c r="P11" s="68" t="n">
        <x:f>SUM(D11:O11)</x:f>
        <x:v>817</x:v>
      </x:c>
    </x:row>
    <x:row r="12">
      <x:c r="B12" s="27" t="str">
        <x:v>Open seats sold</x:v>
      </x:c>
      <x:c r="C12" s="27" t="str">
        <x:v>Count</x:v>
      </x:c>
      <x:c r="D12" s="68" t="n">
        <x:v>15</x:v>
      </x:c>
      <x:c r="E12" s="68" t="n">
        <x:v>18</x:v>
      </x:c>
      <x:c r="F12" s="68" t="n">
        <x:v>16</x:v>
      </x:c>
      <x:c r="G12" s="68" t="n">
        <x:v>22</x:v>
      </x:c>
      <x:c r="H12" s="68" t="n">
        <x:v>19</x:v>
      </x:c>
      <x:c r="I12" s="68" t="n">
        <x:v>12</x:v>
      </x:c>
      <x:c r="J12" s="68" t="n">
        <x:v>4</x:v>
      </x:c>
      <x:c r="K12" s="68" t="n">
        <x:v>8</x:v>
      </x:c>
      <x:c r="L12" s="68" t="n">
        <x:v>24</x:v>
      </x:c>
      <x:c r="M12" s="68" t="n">
        <x:v>27</x:v>
      </x:c>
      <x:c r="N12" s="68" t="n">
        <x:v>18</x:v>
      </x:c>
      <x:c r="O12" s="68" t="n">
        <x:v>15</x:v>
      </x:c>
      <x:c r="P12" s="68" t="n">
        <x:f>SUM(D12:O12)</x:f>
        <x:v>198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4" hidden="0" customWidth="1"/>
    <x:col min="3" max="3" width="2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4" hidden="0" customWidth="1"/>
  </x:cols>
  <x:sheetData>
    <x:row r="2">
      <x:c r="B2" s="24" t="str">
        <x:v>Prior Year Delivery</x:v>
      </x:c>
      <x:c r="C2" s="25"/>
      <x:c r="D2" s="25"/>
      <x:c r="E2" s="25"/>
      <x:c r="F2" s="25"/>
      <x:c r="G2" s="25"/>
      <x:c r="H2" s="25"/>
      <x:c r="I2" s="25"/>
      <x:c r="J2" s="25"/>
      <x:c r="K2" s="25"/>
      <x:c r="L2" s="25"/>
      <x:c r="M2" s="25"/>
      <x:c r="N2" s="25"/>
      <x:c r="O2" s="25"/>
      <x:c r="P2" s="25"/>
    </x:row>
    <x:row r="3">
      <x:c r="B3" s="26" t="str">
        <x:v>2025 actual program volume and capacity use.</x:v>
      </x:c>
      <x:c r="C3" s="26"/>
      <x:c r="D3" s="26"/>
      <x:c r="E3" s="26"/>
      <x:c r="F3" s="26"/>
      <x:c r="G3" s="26"/>
      <x:c r="H3" s="26"/>
      <x:c r="I3" s="26"/>
      <x:c r="J3" s="26"/>
      <x:c r="K3" s="26"/>
      <x:c r="L3" s="26"/>
      <x:c r="M3" s="26"/>
      <x:c r="N3" s="26"/>
      <x:c r="O3" s="26"/>
      <x:c r="P3" s="26"/>
    </x:row>
    <x:row r="4">
      <x:c r="B4" s="27"/>
      <x:c r="C4" s="27"/>
      <x:c r="D4" s="27"/>
      <x:c r="E4" s="27"/>
      <x:c r="F4" s="27"/>
      <x:c r="G4" s="27"/>
      <x:c r="H4" s="27"/>
      <x:c r="I4" s="27"/>
      <x:c r="J4" s="27"/>
      <x:c r="K4" s="27"/>
      <x:c r="L4" s="27"/>
      <x:c r="M4" s="27"/>
      <x:c r="N4" s="27"/>
      <x:c r="O4" s="27"/>
      <x:c r="P4" s="27"/>
    </x:row>
    <x:row r="5">
      <x:c r="B5" s="27"/>
      <x:c r="C5" s="27"/>
      <x:c r="D5" s="27"/>
      <x:c r="E5" s="27"/>
      <x:c r="F5" s="27"/>
      <x:c r="G5" s="27"/>
      <x:c r="H5" s="27"/>
      <x:c r="I5" s="27"/>
      <x:c r="J5" s="27"/>
      <x:c r="K5" s="27"/>
      <x:c r="L5" s="27"/>
      <x:c r="M5" s="27"/>
      <x:c r="N5" s="27"/>
      <x:c r="O5" s="27"/>
      <x:c r="P5" s="27"/>
    </x:row>
    <x:row r="6">
      <x:c r="B6" s="8" t="str">
        <x:v>Metric</x:v>
      </x:c>
      <x:c r="C6" s="8" t="str">
        <x:v>Unit</x:v>
      </x:c>
      <x:c r="D6" s="8" t="str">
        <x:v>Jan</x:v>
      </x:c>
      <x:c r="E6" s="8" t="str">
        <x:v>Feb</x:v>
      </x:c>
      <x:c r="F6" s="8" t="str">
        <x:v>Mar</x:v>
      </x:c>
      <x:c r="G6" s="8" t="str">
        <x:v>Apr</x:v>
      </x:c>
      <x:c r="H6" s="8" t="str">
        <x:v>May</x:v>
      </x:c>
      <x:c r="I6" s="8" t="str">
        <x:v>Jun</x:v>
      </x:c>
      <x:c r="J6" s="8" t="str">
        <x:v>Jul</x:v>
      </x:c>
      <x:c r="K6" s="8" t="str">
        <x:v>Aug</x:v>
      </x:c>
      <x:c r="L6" s="8" t="str">
        <x:v>Sep</x:v>
      </x:c>
      <x:c r="M6" s="8" t="str">
        <x:v>Oct</x:v>
      </x:c>
      <x:c r="N6" s="8" t="str">
        <x:v>Nov</x:v>
      </x:c>
      <x:c r="O6" s="8" t="str">
        <x:v>Dec</x:v>
      </x:c>
      <x:c r="P6" s="8" t="str">
        <x:v>FY Total</x:v>
      </x:c>
    </x:row>
    <x:row r="7">
      <x:c r="B7" s="27" t="str">
        <x:v>Standard corporate programs</x:v>
      </x:c>
      <x:c r="C7" s="27" t="str">
        <x:v>Count</x:v>
      </x:c>
      <x:c r="D7" s="68" t="n">
        <x:v>4</x:v>
      </x:c>
      <x:c r="E7" s="68" t="n">
        <x:v>3</x:v>
      </x:c>
      <x:c r="F7" s="68" t="n">
        <x:v>4</x:v>
      </x:c>
      <x:c r="G7" s="68" t="n">
        <x:v>5</x:v>
      </x:c>
      <x:c r="H7" s="68" t="n">
        <x:v>3</x:v>
      </x:c>
      <x:c r="I7" s="68" t="n">
        <x:v>3</x:v>
      </x:c>
      <x:c r="J7" s="68" t="n">
        <x:v>1</x:v>
      </x:c>
      <x:c r="K7" s="68" t="n">
        <x:v>2</x:v>
      </x:c>
      <x:c r="L7" s="68" t="n">
        <x:v>5</x:v>
      </x:c>
      <x:c r="M7" s="68" t="n">
        <x:v>6</x:v>
      </x:c>
      <x:c r="N7" s="68" t="n">
        <x:v>4</x:v>
      </x:c>
      <x:c r="O7" s="68" t="n">
        <x:v>3</x:v>
      </x:c>
      <x:c r="P7" s="68" t="n">
        <x:f>SUM(D7:O7)</x:f>
        <x:v>43</x:v>
      </x:c>
    </x:row>
    <x:row r="8">
      <x:c r="B8" s="27" t="str">
        <x:v>Large corporate programs</x:v>
      </x:c>
      <x:c r="C8" s="27" t="str">
        <x:v>Count</x:v>
      </x:c>
      <x:c r="D8" s="68" t="n">
        <x:v>0</x:v>
      </x:c>
      <x:c r="E8" s="68" t="n">
        <x:v>1</x:v>
      </x:c>
      <x:c r="F8" s="68" t="n">
        <x:v>0</x:v>
      </x:c>
      <x:c r="G8" s="68" t="n">
        <x:v>1</x:v>
      </x:c>
      <x:c r="H8" s="68" t="n">
        <x:v>1</x:v>
      </x:c>
      <x:c r="I8" s="68" t="n">
        <x:v>0</x:v>
      </x:c>
      <x:c r="J8" s="68" t="n">
        <x:v>0</x:v>
      </x:c>
      <x:c r="K8" s="68" t="n">
        <x:v>0</x:v>
      </x:c>
      <x:c r="L8" s="68" t="n">
        <x:v>1</x:v>
      </x:c>
      <x:c r="M8" s="68" t="n">
        <x:v>1</x:v>
      </x:c>
      <x:c r="N8" s="68" t="n">
        <x:v>1</x:v>
      </x:c>
      <x:c r="O8" s="68" t="n">
        <x:v>0</x:v>
      </x:c>
      <x:c r="P8" s="68" t="n">
        <x:f>SUM(D8:O8)</x:f>
        <x:v>6</x:v>
      </x:c>
    </x:row>
    <x:row r="9">
      <x:c r="B9" s="27" t="str">
        <x:v>Open programs delivered</x:v>
      </x:c>
      <x:c r="C9" s="27" t="str">
        <x:v>Count</x:v>
      </x:c>
      <x:c r="D9" s="68" t="n">
        <x:v>1</x:v>
      </x:c>
      <x:c r="E9" s="68" t="n">
        <x:v>1</x:v>
      </x:c>
      <x:c r="F9" s="68" t="n">
        <x:v>1</x:v>
      </x:c>
      <x:c r="G9" s="68" t="n">
        <x:v>2</x:v>
      </x:c>
      <x:c r="H9" s="68" t="n">
        <x:v>1</x:v>
      </x:c>
      <x:c r="I9" s="68" t="n">
        <x:v>1</x:v>
      </x:c>
      <x:c r="J9" s="68" t="n">
        <x:v>0</x:v>
      </x:c>
      <x:c r="K9" s="68" t="n">
        <x:v>1</x:v>
      </x:c>
      <x:c r="L9" s="68" t="n">
        <x:v>2</x:v>
      </x:c>
      <x:c r="M9" s="68" t="n">
        <x:v>2</x:v>
      </x:c>
      <x:c r="N9" s="68" t="n">
        <x:v>1</x:v>
      </x:c>
      <x:c r="O9" s="68" t="n">
        <x:v>1</x:v>
      </x:c>
      <x:c r="P9" s="68" t="n">
        <x:f>SUM(D9:O9)</x:f>
        <x:v>14</x:v>
      </x:c>
    </x:row>
    <x:row r="10">
      <x:c r="B10" s="27" t="str">
        <x:v>Trainer delivery days</x:v>
      </x:c>
      <x:c r="C10" s="27" t="str">
        <x:v>Days</x:v>
      </x:c>
      <x:c r="D10" s="68" t="n">
        <x:v>8</x:v>
      </x:c>
      <x:c r="E10" s="68" t="n">
        <x:v>8</x:v>
      </x:c>
      <x:c r="F10" s="68" t="n">
        <x:v>8</x:v>
      </x:c>
      <x:c r="G10" s="68" t="n">
        <x:v>13</x:v>
      </x:c>
      <x:c r="H10" s="68" t="n">
        <x:v>9</x:v>
      </x:c>
      <x:c r="I10" s="68" t="n">
        <x:v>7</x:v>
      </x:c>
      <x:c r="J10" s="68" t="n">
        <x:v>2</x:v>
      </x:c>
      <x:c r="K10" s="68" t="n">
        <x:v>5</x:v>
      </x:c>
      <x:c r="L10" s="68" t="n">
        <x:v>14</x:v>
      </x:c>
      <x:c r="M10" s="68" t="n">
        <x:v>16</x:v>
      </x:c>
      <x:c r="N10" s="68" t="n">
        <x:v>11</x:v>
      </x:c>
      <x:c r="O10" s="68" t="n">
        <x:v>7</x:v>
      </x:c>
      <x:c r="P10" s="68" t="n">
        <x:f>SUM(D10:O10)</x:f>
        <x:v>108</x:v>
      </x:c>
    </x:row>
    <x:row r="11">
      <x:c r="B11" s="27" t="str">
        <x:v>Available trainer days</x:v>
      </x:c>
      <x:c r="C11" s="27" t="str">
        <x:v>Days</x:v>
      </x:c>
      <x:c r="D11" s="68" t="n">
        <x:v>15</x:v>
      </x:c>
      <x:c r="E11" s="68" t="n">
        <x:v>15</x:v>
      </x:c>
      <x:c r="F11" s="68" t="n">
        <x:v>17</x:v>
      </x:c>
      <x:c r="G11" s="68" t="n">
        <x:v>16</x:v>
      </x:c>
      <x:c r="H11" s="68" t="n">
        <x:v>17</x:v>
      </x:c>
      <x:c r="I11" s="68" t="n">
        <x:v>15</x:v>
      </x:c>
      <x:c r="J11" s="68" t="n">
        <x:v>10</x:v>
      </x:c>
      <x:c r="K11" s="68" t="n">
        <x:v>12</x:v>
      </x:c>
      <x:c r="L11" s="68" t="n">
        <x:v>18</x:v>
      </x:c>
      <x:c r="M11" s="68" t="n">
        <x:v>18</x:v>
      </x:c>
      <x:c r="N11" s="68" t="n">
        <x:v>16</x:v>
      </x:c>
      <x:c r="O11" s="68" t="n">
        <x:v>12</x:v>
      </x:c>
      <x:c r="P11" s="68" t="n">
        <x:f>SUM(D11:O11)</x:f>
        <x:v>181</x:v>
      </x:c>
    </x:row>
    <x:row r="12">
      <x:c r="B12" s="27" t="str">
        <x:v>Open seats sold</x:v>
      </x:c>
      <x:c r="C12" s="27" t="str">
        <x:v>Seats</x:v>
      </x:c>
      <x:c r="D12" s="68" t="n">
        <x:v>15</x:v>
      </x:c>
      <x:c r="E12" s="68" t="n">
        <x:v>18</x:v>
      </x:c>
      <x:c r="F12" s="68" t="n">
        <x:v>16</x:v>
      </x:c>
      <x:c r="G12" s="68" t="n">
        <x:v>22</x:v>
      </x:c>
      <x:c r="H12" s="68" t="n">
        <x:v>19</x:v>
      </x:c>
      <x:c r="I12" s="68" t="n">
        <x:v>12</x:v>
      </x:c>
      <x:c r="J12" s="68" t="n">
        <x:v>4</x:v>
      </x:c>
      <x:c r="K12" s="68" t="n">
        <x:v>8</x:v>
      </x:c>
      <x:c r="L12" s="68" t="n">
        <x:v>24</x:v>
      </x:c>
      <x:c r="M12" s="68" t="n">
        <x:v>27</x:v>
      </x:c>
      <x:c r="N12" s="68" t="n">
        <x:v>18</x:v>
      </x:c>
      <x:c r="O12" s="68" t="n">
        <x:v>15</x:v>
      </x:c>
      <x:c r="P12" s="68" t="n">
        <x:f>SUM(D12:O12)</x:f>
        <x:v>198</x:v>
      </x:c>
    </x:row>
    <x:row r="13">
      <x:c r="B13" s="27" t="str">
        <x:v>Average open-program attendance</x:v>
      </x:c>
      <x:c r="C13" s="27" t="str">
        <x:v>Participants</x:v>
      </x:c>
      <x:c r="D13" s="68" t="n">
        <x:v>15</x:v>
      </x:c>
      <x:c r="E13" s="68" t="n">
        <x:v>18</x:v>
      </x:c>
      <x:c r="F13" s="68" t="n">
        <x:v>16</x:v>
      </x:c>
      <x:c r="G13" s="68" t="n">
        <x:v>11</x:v>
      </x:c>
      <x:c r="H13" s="68" t="n">
        <x:v>19</x:v>
      </x:c>
      <x:c r="I13" s="68" t="n">
        <x:v>12</x:v>
      </x:c>
      <x:c r="J13" s="68" t="n">
        <x:v>0</x:v>
      </x:c>
      <x:c r="K13" s="68" t="n">
        <x:v>8</x:v>
      </x:c>
      <x:c r="L13" s="68" t="n">
        <x:v>12</x:v>
      </x:c>
      <x:c r="M13" s="68" t="n">
        <x:v>14</x:v>
      </x:c>
      <x:c r="N13" s="68" t="n">
        <x:v>18</x:v>
      </x:c>
      <x:c r="O13" s="68" t="n">
        <x:v>15</x:v>
      </x:c>
      <x:c r="P13" s="71" t="n">
        <x:f>P12/P9</x:f>
        <x:v>14.142857142857142</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2" hidden="0" customWidth="1"/>
    <x:col min="2" max="2" width="24" hidden="0" customWidth="1"/>
    <x:col min="3" max="3" width="2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4" hidden="0" customWidth="1"/>
  </x:cols>
  <x:sheetData>
    <x:row r="2">
      <x:c r="B2" s="24" t="str">
        <x:v>Draft Sales Budget</x:v>
      </x:c>
      <x:c r="C2" s="25"/>
      <x:c r="D2" s="25"/>
      <x:c r="E2" s="25"/>
      <x:c r="F2" s="25"/>
      <x:c r="G2" s="25"/>
      <x:c r="H2" s="25"/>
      <x:c r="I2" s="25"/>
      <x:c r="J2" s="25"/>
      <x:c r="K2" s="25"/>
      <x:c r="L2" s="25"/>
      <x:c r="M2" s="25"/>
      <x:c r="N2" s="25"/>
      <x:c r="O2" s="25"/>
      <x:c r="P2" s="25"/>
    </x:row>
    <x:row r="3">
      <x:c r="B3" s="26" t="str">
        <x:v>2026 revenue budget supplied by the sales director. EUR excluding VAT.</x:v>
      </x:c>
      <x:c r="C3" s="26"/>
      <x:c r="D3" s="26"/>
      <x:c r="E3" s="26"/>
      <x:c r="F3" s="26"/>
      <x:c r="G3" s="26"/>
      <x:c r="H3" s="26"/>
      <x:c r="I3" s="26"/>
      <x:c r="J3" s="26"/>
      <x:c r="K3" s="26"/>
      <x:c r="L3" s="26"/>
      <x:c r="M3" s="26"/>
      <x:c r="N3" s="26"/>
      <x:c r="O3" s="26"/>
      <x:c r="P3" s="26"/>
    </x:row>
    <x:row r="4">
      <x:c r="B4" s="27"/>
      <x:c r="C4" s="27"/>
      <x:c r="D4" s="27"/>
      <x:c r="E4" s="27"/>
      <x:c r="F4" s="27"/>
      <x:c r="G4" s="27"/>
      <x:c r="H4" s="27"/>
      <x:c r="I4" s="27"/>
      <x:c r="J4" s="27"/>
      <x:c r="K4" s="27"/>
      <x:c r="L4" s="27"/>
      <x:c r="M4" s="27"/>
      <x:c r="N4" s="27"/>
      <x:c r="O4" s="27"/>
      <x:c r="P4" s="27"/>
    </x:row>
    <x:row r="5">
      <x:c r="B5" s="27"/>
      <x:c r="C5" s="27"/>
      <x:c r="D5" s="27"/>
      <x:c r="E5" s="27"/>
      <x:c r="F5" s="27"/>
      <x:c r="G5" s="27"/>
      <x:c r="H5" s="27"/>
      <x:c r="I5" s="27"/>
      <x:c r="J5" s="27"/>
      <x:c r="K5" s="27"/>
      <x:c r="L5" s="27"/>
      <x:c r="M5" s="27"/>
      <x:c r="N5" s="27"/>
      <x:c r="O5" s="27"/>
      <x:c r="P5" s="27"/>
    </x:row>
    <x:row r="6">
      <x:c r="B6" s="8" t="str">
        <x:v>Salesperson</x:v>
      </x:c>
      <x:c r="C6" s="8" t="str">
        <x:v>Product</x:v>
      </x:c>
      <x:c r="D6" s="8" t="str">
        <x:v>Jan</x:v>
      </x:c>
      <x:c r="E6" s="8" t="str">
        <x:v>Feb</x:v>
      </x:c>
      <x:c r="F6" s="8" t="str">
        <x:v>Mar</x:v>
      </x:c>
      <x:c r="G6" s="8" t="str">
        <x:v>Apr</x:v>
      </x:c>
      <x:c r="H6" s="8" t="str">
        <x:v>May</x:v>
      </x:c>
      <x:c r="I6" s="8" t="str">
        <x:v>Jun</x:v>
      </x:c>
      <x:c r="J6" s="8" t="str">
        <x:v>Jul</x:v>
      </x:c>
      <x:c r="K6" s="8" t="str">
        <x:v>Aug</x:v>
      </x:c>
      <x:c r="L6" s="8" t="str">
        <x:v>Sep</x:v>
      </x:c>
      <x:c r="M6" s="8" t="str">
        <x:v>Oct</x:v>
      </x:c>
      <x:c r="N6" s="8" t="str">
        <x:v>Nov</x:v>
      </x:c>
      <x:c r="O6" s="8" t="str">
        <x:v>Dec</x:v>
      </x:c>
      <x:c r="P6" s="8" t="str">
        <x:v>FY Total</x:v>
      </x:c>
    </x:row>
    <x:row r="7">
      <x:c r="B7" s="27" t="str">
        <x:v>Anna Power</x:v>
      </x:c>
      <x:c r="C7" s="27" t="str">
        <x:v>Corporate management training</x:v>
      </x:c>
      <x:c r="D7" s="40" t="n">
        <x:v>12500</x:v>
      </x:c>
      <x:c r="E7" s="40" t="n">
        <x:v>12500</x:v>
      </x:c>
      <x:c r="F7" s="40" t="n">
        <x:v>12500</x:v>
      </x:c>
      <x:c r="G7" s="40" t="n">
        <x:v>15000</x:v>
      </x:c>
      <x:c r="H7" s="40" t="n">
        <x:v>12500</x:v>
      </x:c>
      <x:c r="I7" s="40" t="n">
        <x:v>12500</x:v>
      </x:c>
      <x:c r="J7" s="40" t="n">
        <x:v>10000</x:v>
      </x:c>
      <x:c r="K7" s="40" t="n">
        <x:v>12500</x:v>
      </x:c>
      <x:c r="L7" s="40" t="n">
        <x:v>15000</x:v>
      </x:c>
      <x:c r="M7" s="40" t="n">
        <x:v>15000</x:v>
      </x:c>
      <x:c r="N7" s="40" t="n">
        <x:v>12500</x:v>
      </x:c>
      <x:c r="O7" s="40" t="n">
        <x:v>12500</x:v>
      </x:c>
      <x:c r="P7" s="40" t="n">
        <x:f>SUM(D7:O7)</x:f>
        <x:v>155000</x:v>
      </x:c>
    </x:row>
    <x:row r="8">
      <x:c r="B8" s="27" t="str">
        <x:v>Anna Power</x:v>
      </x:c>
      <x:c r="C8" s="27" t="str">
        <x:v>Corporate sales training</x:v>
      </x:c>
      <x:c r="D8" s="40" t="n">
        <x:v>2500</x:v>
      </x:c>
      <x:c r="E8" s="40" t="n">
        <x:v>5000</x:v>
      </x:c>
      <x:c r="F8" s="40" t="n">
        <x:v>5000</x:v>
      </x:c>
      <x:c r="G8" s="40" t="n">
        <x:v>5000</x:v>
      </x:c>
      <x:c r="H8" s="40" t="n">
        <x:v>5000</x:v>
      </x:c>
      <x:c r="I8" s="40" t="n">
        <x:v>5000</x:v>
      </x:c>
      <x:c r="J8" s="40" t="n">
        <x:v>2500</x:v>
      </x:c>
      <x:c r="K8" s="40" t="n">
        <x:v>5000</x:v>
      </x:c>
      <x:c r="L8" s="40" t="n">
        <x:v>5000</x:v>
      </x:c>
      <x:c r="M8" s="40" t="n">
        <x:v>5000</x:v>
      </x:c>
      <x:c r="N8" s="40" t="n">
        <x:v>5000</x:v>
      </x:c>
      <x:c r="O8" s="40" t="n">
        <x:v>2500</x:v>
      </x:c>
      <x:c r="P8" s="40" t="n">
        <x:f>SUM(D8:O8)</x:f>
        <x:v>52500</x:v>
      </x:c>
    </x:row>
    <x:row r="9">
      <x:c r="B9" s="27" t="str">
        <x:v>Anna Power</x:v>
      </x:c>
      <x:c r="C9" s="27" t="str">
        <x:v>Open program seats</x:v>
      </x:c>
      <x:c r="D9" s="40" t="n">
        <x:v>2000</x:v>
      </x:c>
      <x:c r="E9" s="40" t="n">
        <x:v>2500</x:v>
      </x:c>
      <x:c r="F9" s="40" t="n">
        <x:v>2500</x:v>
      </x:c>
      <x:c r="G9" s="40" t="n">
        <x:v>3000</x:v>
      </x:c>
      <x:c r="H9" s="40" t="n">
        <x:v>2500</x:v>
      </x:c>
      <x:c r="I9" s="40" t="n">
        <x:v>2500</x:v>
      </x:c>
      <x:c r="J9" s="40" t="n">
        <x:v>1500</x:v>
      </x:c>
      <x:c r="K9" s="40" t="n">
        <x:v>2500</x:v>
      </x:c>
      <x:c r="L9" s="40" t="n">
        <x:v>3500</x:v>
      </x:c>
      <x:c r="M9" s="40" t="n">
        <x:v>3500</x:v>
      </x:c>
      <x:c r="N9" s="40" t="n">
        <x:v>2500</x:v>
      </x:c>
      <x:c r="O9" s="40" t="n">
        <x:v>2000</x:v>
      </x:c>
      <x:c r="P9" s="40" t="n">
        <x:f>SUM(D9:O9)</x:f>
        <x:v>30500</x:v>
      </x:c>
    </x:row>
    <x:row r="10">
      <x:c r="B10" s="27" t="str">
        <x:v>Mark Pressure</x:v>
      </x:c>
      <x:c r="C10" s="27" t="str">
        <x:v>Corporate management training</x:v>
      </x:c>
      <x:c r="D10" s="40" t="n">
        <x:v>2500</x:v>
      </x:c>
      <x:c r="E10" s="40" t="n">
        <x:v>2500</x:v>
      </x:c>
      <x:c r="F10" s="40" t="n">
        <x:v>5000</x:v>
      </x:c>
      <x:c r="G10" s="40" t="n">
        <x:v>5000</x:v>
      </x:c>
      <x:c r="H10" s="40" t="n">
        <x:v>5000</x:v>
      </x:c>
      <x:c r="I10" s="40" t="n">
        <x:v>2500</x:v>
      </x:c>
      <x:c r="J10" s="40" t="n">
        <x:v>2500</x:v>
      </x:c>
      <x:c r="K10" s="40" t="n">
        <x:v>5000</x:v>
      </x:c>
      <x:c r="L10" s="40" t="n">
        <x:v>5000</x:v>
      </x:c>
      <x:c r="M10" s="40" t="n">
        <x:v>5000</x:v>
      </x:c>
      <x:c r="N10" s="40" t="n">
        <x:v>5000</x:v>
      </x:c>
      <x:c r="O10" s="40" t="n">
        <x:v>2500</x:v>
      </x:c>
      <x:c r="P10" s="40" t="n">
        <x:f>SUM(D10:O10)</x:f>
        <x:v>47500</x:v>
      </x:c>
    </x:row>
    <x:row r="11">
      <x:c r="B11" s="27" t="str">
        <x:v>Mark Pressure</x:v>
      </x:c>
      <x:c r="C11" s="27" t="str">
        <x:v>Corporate sales training</x:v>
      </x:c>
      <x:c r="D11" s="40" t="n">
        <x:v>12500</x:v>
      </x:c>
      <x:c r="E11" s="40" t="n">
        <x:v>12500</x:v>
      </x:c>
      <x:c r="F11" s="40" t="n">
        <x:v>12500</x:v>
      </x:c>
      <x:c r="G11" s="40" t="n">
        <x:v>15000</x:v>
      </x:c>
      <x:c r="H11" s="40" t="n">
        <x:v>12500</x:v>
      </x:c>
      <x:c r="I11" s="40" t="n">
        <x:v>10000</x:v>
      </x:c>
      <x:c r="J11" s="40" t="n">
        <x:v>7500</x:v>
      </x:c>
      <x:c r="K11" s="40" t="n">
        <x:v>10000</x:v>
      </x:c>
      <x:c r="L11" s="40" t="n">
        <x:v>15000</x:v>
      </x:c>
      <x:c r="M11" s="40" t="n">
        <x:v>15000</x:v>
      </x:c>
      <x:c r="N11" s="40" t="n">
        <x:v>12500</x:v>
      </x:c>
      <x:c r="O11" s="40" t="n">
        <x:v>10000</x:v>
      </x:c>
      <x:c r="P11" s="40" t="n">
        <x:f>SUM(D11:O11)</x:f>
        <x:v>145000</x:v>
      </x:c>
    </x:row>
    <x:row r="12">
      <x:c r="B12" s="27" t="str">
        <x:v>Mark Pressure</x:v>
      </x:c>
      <x:c r="C12" s="27" t="str">
        <x:v>Open program seats</x:v>
      </x:c>
      <x:c r="D12" s="40" t="n">
        <x:v>2000</x:v>
      </x:c>
      <x:c r="E12" s="40" t="n">
        <x:v>2500</x:v>
      </x:c>
      <x:c r="F12" s="40" t="n">
        <x:v>2500</x:v>
      </x:c>
      <x:c r="G12" s="40" t="n">
        <x:v>3000</x:v>
      </x:c>
      <x:c r="H12" s="40" t="n">
        <x:v>2500</x:v>
      </x:c>
      <x:c r="I12" s="40" t="n">
        <x:v>2000</x:v>
      </x:c>
      <x:c r="J12" s="40" t="n">
        <x:v>1000</x:v>
      </x:c>
      <x:c r="K12" s="40" t="n">
        <x:v>2000</x:v>
      </x:c>
      <x:c r="L12" s="40" t="n">
        <x:v>3500</x:v>
      </x:c>
      <x:c r="M12" s="40" t="n">
        <x:v>4000</x:v>
      </x:c>
      <x:c r="N12" s="40" t="n">
        <x:v>3000</x:v>
      </x:c>
      <x:c r="O12" s="40" t="n">
        <x:v>2000</x:v>
      </x:c>
      <x:c r="P12" s="40" t="n">
        <x:f>SUM(D12:O12)</x:f>
        <x:v>30000</x:v>
      </x:c>
    </x:row>
    <x:row r="13">
      <x:c r="B13" s="27" t="str">
        <x:v>Linda Smile</x:v>
      </x:c>
      <x:c r="C13" s="27" t="str">
        <x:v>Corporate management training</x:v>
      </x:c>
      <x:c r="D13" s="40" t="n">
        <x:v>5000</x:v>
      </x:c>
      <x:c r="E13" s="40" t="n">
        <x:v>5000</x:v>
      </x:c>
      <x:c r="F13" s="40" t="n">
        <x:v>5000</x:v>
      </x:c>
      <x:c r="G13" s="40" t="n">
        <x:v>7500</x:v>
      </x:c>
      <x:c r="H13" s="40" t="n">
        <x:v>5000</x:v>
      </x:c>
      <x:c r="I13" s="40" t="n">
        <x:v>5000</x:v>
      </x:c>
      <x:c r="J13" s="40" t="n">
        <x:v>2500</x:v>
      </x:c>
      <x:c r="K13" s="40" t="n">
        <x:v>5000</x:v>
      </x:c>
      <x:c r="L13" s="40" t="n">
        <x:v>7500</x:v>
      </x:c>
      <x:c r="M13" s="40" t="n">
        <x:v>7500</x:v>
      </x:c>
      <x:c r="N13" s="40" t="n">
        <x:v>5000</x:v>
      </x:c>
      <x:c r="O13" s="40" t="n">
        <x:v>5000</x:v>
      </x:c>
      <x:c r="P13" s="40" t="n">
        <x:f>SUM(D13:O13)</x:f>
        <x:v>65000</x:v>
      </x:c>
    </x:row>
    <x:row r="14">
      <x:c r="B14" s="27" t="str">
        <x:v>Linda Smile</x:v>
      </x:c>
      <x:c r="C14" s="27" t="str">
        <x:v>Corporate sales training</x:v>
      </x:c>
      <x:c r="D14" s="40" t="n">
        <x:v>2500</x:v>
      </x:c>
      <x:c r="E14" s="40" t="n">
        <x:v>5000</x:v>
      </x:c>
      <x:c r="F14" s="40" t="n">
        <x:v>5000</x:v>
      </x:c>
      <x:c r="G14" s="40" t="n">
        <x:v>5000</x:v>
      </x:c>
      <x:c r="H14" s="40" t="n">
        <x:v>5000</x:v>
      </x:c>
      <x:c r="I14" s="40" t="n">
        <x:v>2500</x:v>
      </x:c>
      <x:c r="J14" s="40" t="n">
        <x:v>2500</x:v>
      </x:c>
      <x:c r="K14" s="40" t="n">
        <x:v>5000</x:v>
      </x:c>
      <x:c r="L14" s="40" t="n">
        <x:v>5000</x:v>
      </x:c>
      <x:c r="M14" s="40" t="n">
        <x:v>7500</x:v>
      </x:c>
      <x:c r="N14" s="40" t="n">
        <x:v>5000</x:v>
      </x:c>
      <x:c r="O14" s="40" t="n">
        <x:v>5000</x:v>
      </x:c>
      <x:c r="P14" s="40" t="n">
        <x:f>SUM(D14:O14)</x:f>
        <x:v>55000</x:v>
      </x:c>
    </x:row>
    <x:row r="15">
      <x:c r="B15" s="27" t="str">
        <x:v>Linda Smile</x:v>
      </x:c>
      <x:c r="C15" s="27" t="str">
        <x:v>Open program seats</x:v>
      </x:c>
      <x:c r="D15" s="40" t="n">
        <x:v>4000</x:v>
      </x:c>
      <x:c r="E15" s="40" t="n">
        <x:v>5000</x:v>
      </x:c>
      <x:c r="F15" s="40" t="n">
        <x:v>6000</x:v>
      </x:c>
      <x:c r="G15" s="40" t="n">
        <x:v>8000</x:v>
      </x:c>
      <x:c r="H15" s="40" t="n">
        <x:v>7000</x:v>
      </x:c>
      <x:c r="I15" s="40" t="n">
        <x:v>6000</x:v>
      </x:c>
      <x:c r="J15" s="40" t="n">
        <x:v>3000</x:v>
      </x:c>
      <x:c r="K15" s="40" t="n">
        <x:v>5000</x:v>
      </x:c>
      <x:c r="L15" s="40" t="n">
        <x:v>9000</x:v>
      </x:c>
      <x:c r="M15" s="40" t="n">
        <x:v>10000</x:v>
      </x:c>
      <x:c r="N15" s="40" t="n">
        <x:v>8000</x:v>
      </x:c>
      <x:c r="O15" s="40" t="n">
        <x:v>7000</x:v>
      </x:c>
      <x:c r="P15" s="40" t="n">
        <x:f>SUM(D15:O15)</x:f>
        <x:v>78000</x:v>
      </x:c>
    </x:row>
    <x:row r="16">
      <x:c r="B16" s="27" t="str">
        <x:v>Peter Late</x:v>
      </x:c>
      <x:c r="C16" s="27" t="str">
        <x:v>Corporate management training</x:v>
      </x:c>
      <x:c r="D16" s="40" t="n">
        <x:v>2500</x:v>
      </x:c>
      <x:c r="E16" s="40" t="n">
        <x:v>2500</x:v>
      </x:c>
      <x:c r="F16" s="40" t="n">
        <x:v>5000</x:v>
      </x:c>
      <x:c r="G16" s="40" t="n">
        <x:v>5000</x:v>
      </x:c>
      <x:c r="H16" s="40" t="n">
        <x:v>2500</x:v>
      </x:c>
      <x:c r="I16" s="40" t="n">
        <x:v>2500</x:v>
      </x:c>
      <x:c r="J16" s="40" t="n">
        <x:v>2500</x:v>
      </x:c>
      <x:c r="K16" s="40" t="n">
        <x:v>5000</x:v>
      </x:c>
      <x:c r="L16" s="40" t="n">
        <x:v>5000</x:v>
      </x:c>
      <x:c r="M16" s="40" t="n">
        <x:v>5000</x:v>
      </x:c>
      <x:c r="N16" s="40" t="n">
        <x:v>2500</x:v>
      </x:c>
      <x:c r="O16" s="40" t="n">
        <x:v>2500</x:v>
      </x:c>
      <x:c r="P16" s="40" t="n">
        <x:f>SUM(D16:O16)</x:f>
        <x:v>42500</x:v>
      </x:c>
    </x:row>
    <x:row r="17">
      <x:c r="B17" s="27" t="str">
        <x:v>Peter Late</x:v>
      </x:c>
      <x:c r="C17" s="27" t="str">
        <x:v>Corporate sales training</x:v>
      </x:c>
      <x:c r="D17" s="40" t="n">
        <x:v>5000</x:v>
      </x:c>
      <x:c r="E17" s="40" t="n">
        <x:v>5000</x:v>
      </x:c>
      <x:c r="F17" s="40" t="n">
        <x:v>5000</x:v>
      </x:c>
      <x:c r="G17" s="40" t="n">
        <x:v>5000</x:v>
      </x:c>
      <x:c r="H17" s="40" t="n">
        <x:v>5000</x:v>
      </x:c>
      <x:c r="I17" s="40" t="n">
        <x:v>5000</x:v>
      </x:c>
      <x:c r="J17" s="40" t="n">
        <x:v>2500</x:v>
      </x:c>
      <x:c r="K17" s="40" t="n">
        <x:v>5000</x:v>
      </x:c>
      <x:c r="L17" s="40" t="n">
        <x:v>7500</x:v>
      </x:c>
      <x:c r="M17" s="40" t="n">
        <x:v>7500</x:v>
      </x:c>
      <x:c r="N17" s="40" t="n">
        <x:v>5000</x:v>
      </x:c>
      <x:c r="O17" s="40" t="n">
        <x:v>5000</x:v>
      </x:c>
      <x:c r="P17" s="40" t="n">
        <x:f>SUM(D17:O17)</x:f>
        <x:v>62500</x:v>
      </x:c>
    </x:row>
    <x:row r="18">
      <x:c r="B18" s="27" t="str">
        <x:v>Peter Late</x:v>
      </x:c>
      <x:c r="C18" s="27" t="str">
        <x:v>Open program seats</x:v>
      </x:c>
      <x:c r="D18" s="40" t="n">
        <x:v>2500</x:v>
      </x:c>
      <x:c r="E18" s="40" t="n">
        <x:v>3000</x:v>
      </x:c>
      <x:c r="F18" s="40" t="n">
        <x:v>3500</x:v>
      </x:c>
      <x:c r="G18" s="40" t="n">
        <x:v>4000</x:v>
      </x:c>
      <x:c r="H18" s="40" t="n">
        <x:v>3500</x:v>
      </x:c>
      <x:c r="I18" s="40" t="n">
        <x:v>3000</x:v>
      </x:c>
      <x:c r="J18" s="40" t="n">
        <x:v>1500</x:v>
      </x:c>
      <x:c r="K18" s="40" t="n">
        <x:v>3000</x:v>
      </x:c>
      <x:c r="L18" s="40" t="n">
        <x:v>5000</x:v>
      </x:c>
      <x:c r="M18" s="40" t="n">
        <x:v>5500</x:v>
      </x:c>
      <x:c r="N18" s="40" t="n">
        <x:v>4000</x:v>
      </x:c>
      <x:c r="O18" s="40" t="n">
        <x:v>3500</x:v>
      </x:c>
      <x:c r="P18" s="40" t="n">
        <x:f>SUM(D18:O18)</x:f>
        <x:v>42000</x:v>
      </x:c>
    </x:row>
    <x:row r="19">
      <x:c r="B19" s="27" t="str">
        <x:v>Ella Fast</x:v>
      </x:c>
      <x:c r="C19" s="27" t="str">
        <x:v>Corporate management training</x:v>
      </x:c>
      <x:c r="D19" s="40" t="n">
        <x:v>0</x:v>
      </x:c>
      <x:c r="E19" s="40" t="n">
        <x:v>0</x:v>
      </x:c>
      <x:c r="F19" s="40" t="n">
        <x:v>0</x:v>
      </x:c>
      <x:c r="G19" s="40" t="n">
        <x:v>0</x:v>
      </x:c>
      <x:c r="H19" s="40" t="n">
        <x:v>0</x:v>
      </x:c>
      <x:c r="I19" s="40" t="n">
        <x:v>7500</x:v>
      </x:c>
      <x:c r="J19" s="40" t="n">
        <x:v>10000</x:v>
      </x:c>
      <x:c r="K19" s="40" t="n">
        <x:v>12500</x:v>
      </x:c>
      <x:c r="L19" s="40" t="n">
        <x:v>12500</x:v>
      </x:c>
      <x:c r="M19" s="40" t="n">
        <x:v>15000</x:v>
      </x:c>
      <x:c r="N19" s="40" t="n">
        <x:v>15000</x:v>
      </x:c>
      <x:c r="O19" s="40" t="n">
        <x:v>12500</x:v>
      </x:c>
      <x:c r="P19" s="40" t="n">
        <x:f>SUM(D19:O19)</x:f>
        <x:v>85000</x:v>
      </x:c>
    </x:row>
    <x:row r="20">
      <x:c r="B20" s="27" t="str">
        <x:v>Ella Fast</x:v>
      </x:c>
      <x:c r="C20" s="27" t="str">
        <x:v>Corporate sales training</x:v>
      </x:c>
      <x:c r="D20" s="40" t="n">
        <x:v>0</x:v>
      </x:c>
      <x:c r="E20" s="40" t="n">
        <x:v>0</x:v>
      </x:c>
      <x:c r="F20" s="40" t="n">
        <x:v>0</x:v>
      </x:c>
      <x:c r="G20" s="40" t="n">
        <x:v>0</x:v>
      </x:c>
      <x:c r="H20" s="40" t="n">
        <x:v>0</x:v>
      </x:c>
      <x:c r="I20" s="40" t="n">
        <x:v>5000</x:v>
      </x:c>
      <x:c r="J20" s="40" t="n">
        <x:v>7500</x:v>
      </x:c>
      <x:c r="K20" s="40" t="n">
        <x:v>10000</x:v>
      </x:c>
      <x:c r="L20" s="40" t="n">
        <x:v>10000</x:v>
      </x:c>
      <x:c r="M20" s="40" t="n">
        <x:v>12500</x:v>
      </x:c>
      <x:c r="N20" s="40" t="n">
        <x:v>12500</x:v>
      </x:c>
      <x:c r="O20" s="40" t="n">
        <x:v>10000</x:v>
      </x:c>
      <x:c r="P20" s="40" t="n">
        <x:f>SUM(D20:O20)</x:f>
        <x:v>67500</x:v>
      </x:c>
    </x:row>
    <x:row r="21">
      <x:c r="B21" s="27" t="str">
        <x:v>Ella Fast</x:v>
      </x:c>
      <x:c r="C21" s="27" t="str">
        <x:v>Open program seats</x:v>
      </x:c>
      <x:c r="D21" s="40" t="n">
        <x:v>0</x:v>
      </x:c>
      <x:c r="E21" s="40" t="n">
        <x:v>0</x:v>
      </x:c>
      <x:c r="F21" s="40" t="n">
        <x:v>0</x:v>
      </x:c>
      <x:c r="G21" s="40" t="n">
        <x:v>0</x:v>
      </x:c>
      <x:c r="H21" s="40" t="n">
        <x:v>0</x:v>
      </x:c>
      <x:c r="I21" s="40" t="n">
        <x:v>2500</x:v>
      </x:c>
      <x:c r="J21" s="40" t="n">
        <x:v>3000</x:v>
      </x:c>
      <x:c r="K21" s="40" t="n">
        <x:v>4000</x:v>
      </x:c>
      <x:c r="L21" s="40" t="n">
        <x:v>5000</x:v>
      </x:c>
      <x:c r="M21" s="40" t="n">
        <x:v>6000</x:v>
      </x:c>
      <x:c r="N21" s="40" t="n">
        <x:v>6000</x:v>
      </x:c>
      <x:c r="O21" s="40" t="n">
        <x:v>5000</x:v>
      </x:c>
      <x:c r="P21" s="40" t="n">
        <x:f>SUM(D21:O21)</x:f>
        <x:v>31500</x:v>
      </x:c>
    </x:row>
    <x:row r="22">
      <x:c r="B22" s="27"/>
      <x:c r="C22" s="27"/>
      <x:c r="D22" s="40"/>
      <x:c r="E22" s="40"/>
      <x:c r="F22" s="40"/>
      <x:c r="G22" s="40"/>
      <x:c r="H22" s="40"/>
      <x:c r="I22" s="40"/>
      <x:c r="J22" s="40"/>
      <x:c r="K22" s="40"/>
      <x:c r="L22" s="40"/>
      <x:c r="M22" s="40"/>
      <x:c r="N22" s="40"/>
      <x:c r="O22" s="40"/>
      <x:c r="P22" s="40"/>
    </x:row>
    <x:row r="23">
      <x:c r="B23" s="78" t="str">
        <x:v>TOTAL</x:v>
      </x:c>
      <x:c r="C23" s="78" t="str">
        <x:v>All products</x:v>
      </x:c>
      <x:c r="D23" s="79" t="n">
        <x:f>SUM(D7:D21)</x:f>
        <x:v>55500</x:v>
      </x:c>
      <x:c r="E23" s="79" t="n">
        <x:f>SUM(E7:E21)</x:f>
        <x:v>63000</x:v>
      </x:c>
      <x:c r="F23" s="79" t="n">
        <x:f>SUM(F7:F21)</x:f>
        <x:v>69500</x:v>
      </x:c>
      <x:c r="G23" s="79" t="n">
        <x:f>SUM(G7:G21)</x:f>
        <x:v>80500</x:v>
      </x:c>
      <x:c r="H23" s="79" t="n">
        <x:f>SUM(H7:H21)</x:f>
        <x:v>68000</x:v>
      </x:c>
      <x:c r="I23" s="79" t="n">
        <x:f>SUM(I7:I21)</x:f>
        <x:v>73500</x:v>
      </x:c>
      <x:c r="J23" s="79" t="n">
        <x:f>SUM(J7:J21)</x:f>
        <x:v>60000</x:v>
      </x:c>
      <x:c r="K23" s="79" t="n">
        <x:f>SUM(K7:K21)</x:f>
        <x:v>91500</x:v>
      </x:c>
      <x:c r="L23" s="79" t="n">
        <x:f>SUM(L7:L21)</x:f>
        <x:v>113500</x:v>
      </x:c>
      <x:c r="M23" s="79" t="n">
        <x:f>SUM(M7:M21)</x:f>
        <x:v>124000</x:v>
      </x:c>
      <x:c r="N23" s="79" t="n">
        <x:f>SUM(N7:N21)</x:f>
        <x:v>103500</x:v>
      </x:c>
      <x:c r="O23" s="79" t="n">
        <x:f>SUM(O7:O21)</x:f>
        <x:v>87000</x:v>
      </x:c>
      <x:c r="P23" s="79" t="n">
        <x:f>SUM(P7:P21)</x:f>
        <x:v>989500</x:v>
      </x:c>
    </x:row>
    <x:row r="24">
      <x:c r="B24" s="78" t="str">
        <x:v>Growth versus prior year</x:v>
      </x:c>
      <x:c r="C24" s="78" t="str">
        <x:v>Revenue growth</x:v>
      </x:c>
      <x:c r="D24" s="80" t="n">
        <x:f>D23/'02 Prior Year Sales'!D20-1</x:f>
        <x:v>0.247191011235955</x:v>
      </x:c>
      <x:c r="E24" s="80" t="n">
        <x:f>E23/'02 Prior Year Sales'!E20-1</x:f>
        <x:v>0.24752475247524752</x:v>
      </x:c>
      <x:c r="F24" s="80" t="n">
        <x:f>F23/'02 Prior Year Sales'!F20-1</x:f>
        <x:v>0.5274725274725274</x:v>
      </x:c>
      <x:c r="G24" s="80" t="n">
        <x:f>G23/'02 Prior Year Sales'!G20-1</x:f>
        <x:v>0.26771653543307083</x:v>
      </x:c>
      <x:c r="H24" s="80" t="n">
        <x:f>H23/'02 Prior Year Sales'!H20-1</x:f>
        <x:v>0.5813953488372092</x:v>
      </x:c>
      <x:c r="I24" s="80" t="n">
        <x:f>I23/'02 Prior Year Sales'!I20-1</x:f>
        <x:v>1.5344827586206895</x:v>
      </x:c>
      <x:c r="J24" s="80" t="n">
        <x:f>J23/'02 Prior Year Sales'!J20-1</x:f>
        <x:v>3</x:v>
      </x:c>
      <x:c r="K24" s="80" t="n">
        <x:f>K23/'02 Prior Year Sales'!K20-1</x:f>
        <x:v>1.772727272727273</x:v>
      </x:c>
      <x:c r="L24" s="80" t="n">
        <x:f>L23/'02 Prior Year Sales'!L20-1</x:f>
        <x:v>0.8760330578512396</x:v>
      </x:c>
      <x:c r="M24" s="80" t="n">
        <x:f>M23/'02 Prior Year Sales'!M20-1</x:f>
        <x:v>0.8931297709923665</x:v>
      </x:c>
      <x:c r="N24" s="80" t="n">
        <x:f>N23/'02 Prior Year Sales'!N20-1</x:f>
        <x:v>1.5875</x:v>
      </x:c>
      <x:c r="O24" s="80" t="n">
        <x:f>O23/'02 Prior Year Sales'!O20-1</x:f>
        <x:v>1.2597402597402598</x:v>
      </x:c>
      <x:c r="P24" s="80" t="n">
        <x:f>P23/'02 Prior Year Sales'!P20-1</x:f>
        <x:v>0.8722800378429518</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6" ySplit="6" topLeftCell="G7" activePane="bottomRight" state="frozen"/>
    </x:sheetView>
  </x:sheetViews>
  <x:sheetFormatPr defaultRowHeight="15"/>
  <x:cols>
    <x:col min="1" max="1" width="2" hidden="0" customWidth="1"/>
    <x:col min="2" max="2" width="9" hidden="0" customWidth="1"/>
    <x:col min="3" max="3" width="9" hidden="0" customWidth="1"/>
    <x:col min="4" max="4" width="18" hidden="0" customWidth="1"/>
    <x:col min="5" max="5" width="28" hidden="0" customWidth="1"/>
    <x:col min="6" max="6" width="17" hidden="0" customWidth="1"/>
    <x:col min="7" max="7" width="8" hidden="0" customWidth="1"/>
    <x:col min="8" max="8" width="12" hidden="0" customWidth="1"/>
    <x:col min="9" max="9" width="10" hidden="0" customWidth="1"/>
    <x:col min="10" max="10" width="12" hidden="0" customWidth="1"/>
    <x:col min="11" max="11" width="12" hidden="0" customWidth="1"/>
    <x:col min="12" max="12" width="10" hidden="0" customWidth="1"/>
    <x:col min="13" max="13" width="12" hidden="0" customWidth="1"/>
    <x:col min="14" max="14" width="10" hidden="0" customWidth="1"/>
    <x:col min="15" max="15" width="10" hidden="0" customWidth="1"/>
    <x:col min="16" max="16" width="10" hidden="0" customWidth="1"/>
    <x:col min="17" max="17" width="12" hidden="0" customWidth="1"/>
    <x:col min="18" max="18" width="12" hidden="0" customWidth="1"/>
    <x:col min="19" max="19" width="12" hidden="0" customWidth="1"/>
    <x:col min="20" max="20" width="10" hidden="0" customWidth="1"/>
  </x:cols>
  <x:sheetData>
    <x:row r="2">
      <x:c r="B2" s="24" t="str">
        <x:v>Draft Program Plan</x:v>
      </x:c>
      <x:c r="C2" s="25"/>
      <x:c r="D2" s="25"/>
      <x:c r="E2" s="25"/>
      <x:c r="F2" s="25"/>
      <x:c r="G2" s="25"/>
      <x:c r="H2" s="25"/>
      <x:c r="I2" s="25"/>
      <x:c r="J2" s="25"/>
      <x:c r="K2" s="25"/>
      <x:c r="L2" s="25"/>
      <x:c r="M2" s="25"/>
      <x:c r="N2" s="25"/>
      <x:c r="O2" s="25"/>
      <x:c r="P2" s="25"/>
      <x:c r="Q2" s="25"/>
      <x:c r="R2" s="25"/>
      <x:c r="S2" s="25"/>
      <x:c r="T2" s="25"/>
    </x:row>
    <x:row r="3">
      <x:c r="B3" s="26" t="str">
        <x:v>Programs scheduled by operations for 2026. Revenue and direct costs are calculated from the supplied plan.</x:v>
      </x:c>
      <x:c r="C3" s="26"/>
      <x:c r="D3" s="26"/>
      <x:c r="E3" s="26"/>
      <x:c r="F3" s="26"/>
      <x:c r="G3" s="26"/>
      <x:c r="H3" s="26"/>
      <x:c r="I3" s="26"/>
      <x:c r="J3" s="26"/>
      <x:c r="K3" s="26"/>
      <x:c r="L3" s="26"/>
      <x:c r="M3" s="26"/>
      <x:c r="N3" s="26"/>
      <x:c r="O3" s="26"/>
      <x:c r="P3" s="26"/>
      <x:c r="Q3" s="26"/>
      <x:c r="R3" s="26"/>
      <x:c r="S3" s="26"/>
      <x:c r="T3" s="26"/>
    </x:row>
    <x:row r="4">
      <x:c r="B4" s="27"/>
      <x:c r="C4" s="27"/>
      <x:c r="D4" s="27"/>
      <x:c r="E4" s="27"/>
      <x:c r="F4" s="27"/>
      <x:c r="G4" s="27"/>
      <x:c r="H4" s="27"/>
      <x:c r="I4" s="27"/>
      <x:c r="J4" s="27"/>
      <x:c r="K4" s="27"/>
      <x:c r="L4" s="27"/>
      <x:c r="M4" s="27"/>
      <x:c r="N4" s="27"/>
      <x:c r="O4" s="27"/>
      <x:c r="P4" s="27"/>
      <x:c r="Q4" s="27"/>
      <x:c r="R4" s="27"/>
      <x:c r="S4" s="27"/>
      <x:c r="T4" s="27"/>
    </x:row>
    <x:row r="5">
      <x:c r="B5" s="27"/>
      <x:c r="C5" s="27"/>
      <x:c r="D5" s="27"/>
      <x:c r="E5" s="27"/>
      <x:c r="F5" s="27"/>
      <x:c r="G5" s="27"/>
      <x:c r="H5" s="27"/>
      <x:c r="I5" s="27"/>
      <x:c r="J5" s="27"/>
      <x:c r="K5" s="27"/>
      <x:c r="L5" s="27"/>
      <x:c r="M5" s="27"/>
      <x:c r="N5" s="27"/>
      <x:c r="O5" s="27"/>
      <x:c r="P5" s="27"/>
      <x:c r="Q5" s="27"/>
      <x:c r="R5" s="27"/>
      <x:c r="S5" s="27"/>
      <x:c r="T5" s="27"/>
    </x:row>
    <x:row r="6">
      <x:c r="B6" s="8" t="str">
        <x:v>ID</x:v>
      </x:c>
      <x:c r="C6" s="8" t="str">
        <x:v>Month</x:v>
      </x:c>
      <x:c r="D6" s="8" t="str">
        <x:v>Salesperson</x:v>
      </x:c>
      <x:c r="E6" s="8" t="str">
        <x:v>Client or Event</x:v>
      </x:c>
      <x:c r="F6" s="8" t="str">
        <x:v>Type</x:v>
      </x:c>
      <x:c r="G6" s="8" t="str">
        <x:v>Days</x:v>
      </x:c>
      <x:c r="H6" s="8" t="str">
        <x:v>Participants</x:v>
      </x:c>
      <x:c r="I6" s="8" t="str">
        <x:v>Seat Price</x:v>
      </x:c>
      <x:c r="J6" s="8" t="str">
        <x:v>Revenue</x:v>
      </x:c>
      <x:c r="K6" s="8" t="str">
        <x:v>Instructor Cost</x:v>
      </x:c>
      <x:c r="L6" s="8" t="str">
        <x:v>Assistants</x:v>
      </x:c>
      <x:c r="M6" s="8" t="str">
        <x:v>Assistant Cost</x:v>
      </x:c>
      <x:c r="N6" s="8" t="str">
        <x:v>Venue</x:v>
      </x:c>
      <x:c r="O6" s="8" t="str">
        <x:v>Travel</x:v>
      </x:c>
      <x:c r="P6" s="8" t="str">
        <x:v>Materials</x:v>
      </x:c>
      <x:c r="Q6" s="8" t="str">
        <x:v>Sales Commission</x:v>
      </x:c>
      <x:c r="R6" s="8" t="str">
        <x:v>Direct Cost</x:v>
      </x:c>
      <x:c r="S6" s="8" t="str">
        <x:v>Contribution</x:v>
      </x:c>
      <x:c r="T6" s="8" t="str">
        <x:v>Margin</x:v>
      </x:c>
    </x:row>
    <x:row r="7">
      <x:c r="B7" s="27" t="str">
        <x:v>P01</x:v>
      </x:c>
      <x:c r="C7" s="27" t="str">
        <x:v>Jan</x:v>
      </x:c>
      <x:c r="D7" s="27" t="str">
        <x:v>Mark Pressure</x:v>
      </x:c>
      <x:c r="E7" s="27" t="str">
        <x:v>Never Enough Calls Ltd</x:v>
      </x:c>
      <x:c r="F7" s="27" t="str">
        <x:v>Standard corporate</x:v>
      </x:c>
      <x:c r="G7" s="27" t="n">
        <x:v>2</x:v>
      </x:c>
      <x:c r="H7" s="27" t="n">
        <x:v>20</x:v>
      </x:c>
      <x:c r="I7" s="27" t="n">
        <x:v>0</x:v>
      </x:c>
      <x:c r="J7" s="40" t="n">
        <x:f>IF(F7="Open",H7*I7,IF(F7="Large corporate",(2500+ROUNDUP(MAX(0,H7-20)/10,0)*650)*G7,2500*G7))</x:f>
        <x:v>5000</x:v>
      </x:c>
      <x:c r="K7" s="40" t="n">
        <x:f>G7*700</x:f>
        <x:v>1400</x:v>
      </x:c>
      <x:c r="L7" s="68" t="n">
        <x:f>IF(F7="Large corporate",MAX(0,ROUNDUP(H7/30,0)-1),0)</x:f>
        <x:v>0</x:v>
      </x:c>
      <x:c r="M7" s="40" t="n">
        <x:f>L7*175*G7</x:f>
        <x:v>0</x:v>
      </x:c>
      <x:c r="N7" s="40" t="n">
        <x:f>IF(F7="Open",600*G7,0)</x:f>
        <x:v>0</x:v>
      </x:c>
      <x:c r="O7" s="40" t="n">
        <x:v>0</x:v>
      </x:c>
      <x:c r="P7" s="40" t="n">
        <x:f>H7*15*G7</x:f>
        <x:v>600</x:v>
      </x:c>
      <x:c r="Q7" s="40" t="n">
        <x:f>J7*5%</x:f>
        <x:v>250</x:v>
      </x:c>
      <x:c r="R7" s="40" t="n">
        <x:f>SUM(K7,M7:Q7)</x:f>
        <x:v>2250</x:v>
      </x:c>
      <x:c r="S7" s="40" t="n">
        <x:f>J7-R7</x:f>
        <x:v>2750</x:v>
      </x:c>
      <x:c r="T7" s="85" t="n">
        <x:f>S7/J7</x:f>
        <x:v>0.55</x:v>
      </x:c>
    </x:row>
    <x:row r="8">
      <x:c r="B8" s="27" t="str">
        <x:v>P02</x:v>
      </x:c>
      <x:c r="C8" s="27" t="str">
        <x:v>Jan</x:v>
      </x:c>
      <x:c r="D8" s="27" t="str">
        <x:v>Linda Smile</x:v>
      </x:c>
      <x:c r="E8" s="27" t="str">
        <x:v>How to Look Busy All Day</x:v>
      </x:c>
      <x:c r="F8" s="27" t="str">
        <x:v>Open</x:v>
      </x:c>
      <x:c r="G8" s="27" t="n">
        <x:v>1</x:v>
      </x:c>
      <x:c r="H8" s="27" t="n">
        <x:v>18</x:v>
      </x:c>
      <x:c r="I8" s="27" t="n">
        <x:v>200</x:v>
      </x:c>
      <x:c r="J8" s="40" t="n">
        <x:f>IF(F8="Open",H8*I8,IF(F8="Large corporate",(2500+ROUNDUP(MAX(0,H8-20)/10,0)*650)*G8,2500*G8))</x:f>
        <x:v>3600</x:v>
      </x:c>
      <x:c r="K8" s="40" t="n">
        <x:f>G8*700</x:f>
        <x:v>700</x:v>
      </x:c>
      <x:c r="L8" s="68" t="n">
        <x:f>IF(F8="Large corporate",MAX(0,ROUNDUP(H8/30,0)-1),0)</x:f>
        <x:v>0</x:v>
      </x:c>
      <x:c r="M8" s="40" t="n">
        <x:f>L8*175*G8</x:f>
        <x:v>0</x:v>
      </x:c>
      <x:c r="N8" s="40" t="n">
        <x:f>IF(F8="Open",600*G8,0)</x:f>
        <x:v>600</x:v>
      </x:c>
      <x:c r="O8" s="40" t="n">
        <x:v>0</x:v>
      </x:c>
      <x:c r="P8" s="40" t="n">
        <x:f>H8*15*G8</x:f>
        <x:v>270</x:v>
      </x:c>
      <x:c r="Q8" s="40" t="n">
        <x:f>J8*5%</x:f>
        <x:v>180</x:v>
      </x:c>
      <x:c r="R8" s="40" t="n">
        <x:f>SUM(K8,M8:Q8)</x:f>
        <x:v>1750</x:v>
      </x:c>
      <x:c r="S8" s="40" t="n">
        <x:f>J8-R8</x:f>
        <x:v>1850</x:v>
      </x:c>
      <x:c r="T8" s="85" t="n">
        <x:f>S8/J8</x:f>
        <x:v>0.5138888888888888</x:v>
      </x:c>
    </x:row>
    <x:row r="9">
      <x:c r="B9" s="27" t="str">
        <x:v>P03</x:v>
      </x:c>
      <x:c r="C9" s="27" t="str">
        <x:v>Feb</x:v>
      </x:c>
      <x:c r="D9" s="27" t="str">
        <x:v>Anna Power</x:v>
      </x:c>
      <x:c r="E9" s="27" t="str">
        <x:v>Big Chair Bank</x:v>
      </x:c>
      <x:c r="F9" s="27" t="str">
        <x:v>Large corporate</x:v>
      </x:c>
      <x:c r="G9" s="27" t="n">
        <x:v>2</x:v>
      </x:c>
      <x:c r="H9" s="27" t="n">
        <x:v>60</x:v>
      </x:c>
      <x:c r="I9" s="27" t="n">
        <x:v>0</x:v>
      </x:c>
      <x:c r="J9" s="40" t="n">
        <x:f>IF(F9="Open",H9*I9,IF(F9="Large corporate",(2500+ROUNDUP(MAX(0,H9-20)/10,0)*650)*G9,2500*G9))</x:f>
        <x:v>10200</x:v>
      </x:c>
      <x:c r="K9" s="40" t="n">
        <x:f>G9*700</x:f>
        <x:v>1400</x:v>
      </x:c>
      <x:c r="L9" s="68" t="n">
        <x:f>IF(F9="Large corporate",MAX(0,ROUNDUP(H9/30,0)-1),0)</x:f>
        <x:v>1</x:v>
      </x:c>
      <x:c r="M9" s="40" t="n">
        <x:f>L9*175*G9</x:f>
        <x:v>350</x:v>
      </x:c>
      <x:c r="N9" s="40" t="n">
        <x:f>IF(F9="Open",600*G9,0)</x:f>
        <x:v>0</x:v>
      </x:c>
      <x:c r="O9" s="40" t="n">
        <x:v>800</x:v>
      </x:c>
      <x:c r="P9" s="40" t="n">
        <x:f>H9*15*G9</x:f>
        <x:v>1800</x:v>
      </x:c>
      <x:c r="Q9" s="40" t="n">
        <x:f>J9*5%</x:f>
        <x:v>510</x:v>
      </x:c>
      <x:c r="R9" s="40" t="n">
        <x:f>SUM(K9,M9:Q9)</x:f>
        <x:v>4860</x:v>
      </x:c>
      <x:c r="S9" s="40" t="n">
        <x:f>J9-R9</x:f>
        <x:v>5340</x:v>
      </x:c>
      <x:c r="T9" s="85" t="n">
        <x:f>S9/J9</x:f>
        <x:v>0.5235294117647059</x:v>
      </x:c>
    </x:row>
    <x:row r="10">
      <x:c r="B10" s="27" t="str">
        <x:v>P04</x:v>
      </x:c>
      <x:c r="C10" s="27" t="str">
        <x:v>Feb</x:v>
      </x:c>
      <x:c r="D10" s="27" t="str">
        <x:v>Peter Late</x:v>
      </x:c>
      <x:c r="E10" s="27" t="str">
        <x:v>Meetings About Meetings</x:v>
      </x:c>
      <x:c r="F10" s="27" t="str">
        <x:v>Standard corporate</x:v>
      </x:c>
      <x:c r="G10" s="27" t="n">
        <x:v>1</x:v>
      </x:c>
      <x:c r="H10" s="27" t="n">
        <x:v>18</x:v>
      </x:c>
      <x:c r="I10" s="27" t="n">
        <x:v>0</x:v>
      </x:c>
      <x:c r="J10" s="40" t="n">
        <x:f>IF(F10="Open",H10*I10,IF(F10="Large corporate",(2500+ROUNDUP(MAX(0,H10-20)/10,0)*650)*G10,2500*G10))</x:f>
        <x:v>2500</x:v>
      </x:c>
      <x:c r="K10" s="40" t="n">
        <x:f>G10*700</x:f>
        <x:v>700</x:v>
      </x:c>
      <x:c r="L10" s="68" t="n">
        <x:f>IF(F10="Large corporate",MAX(0,ROUNDUP(H10/30,0)-1),0)</x:f>
        <x:v>0</x:v>
      </x:c>
      <x:c r="M10" s="40" t="n">
        <x:f>L10*175*G10</x:f>
        <x:v>0</x:v>
      </x:c>
      <x:c r="N10" s="40" t="n">
        <x:f>IF(F10="Open",600*G10,0)</x:f>
        <x:v>0</x:v>
      </x:c>
      <x:c r="O10" s="40" t="n">
        <x:v>0</x:v>
      </x:c>
      <x:c r="P10" s="40" t="n">
        <x:f>H10*15*G10</x:f>
        <x:v>270</x:v>
      </x:c>
      <x:c r="Q10" s="40" t="n">
        <x:f>J10*5%</x:f>
        <x:v>125</x:v>
      </x:c>
      <x:c r="R10" s="40" t="n">
        <x:f>SUM(K10,M10:Q10)</x:f>
        <x:v>1095</x:v>
      </x:c>
      <x:c r="S10" s="40" t="n">
        <x:f>J10-R10</x:f>
        <x:v>1405</x:v>
      </x:c>
      <x:c r="T10" s="85" t="n">
        <x:f>S10/J10</x:f>
        <x:v>0.562</x:v>
      </x:c>
    </x:row>
    <x:row r="11">
      <x:c r="B11" s="27" t="str">
        <x:v>P05</x:v>
      </x:c>
      <x:c r="C11" s="27" t="str">
        <x:v>Mar</x:v>
      </x:c>
      <x:c r="D11" s="27" t="str">
        <x:v>Anna Power</x:v>
      </x:c>
      <x:c r="E11" s="27" t="str">
        <x:v>Credit for Other People's Work</x:v>
      </x:c>
      <x:c r="F11" s="27" t="str">
        <x:v>Standard corporate</x:v>
      </x:c>
      <x:c r="G11" s="27" t="n">
        <x:v>2</x:v>
      </x:c>
      <x:c r="H11" s="27" t="n">
        <x:v>20</x:v>
      </x:c>
      <x:c r="I11" s="27" t="n">
        <x:v>0</x:v>
      </x:c>
      <x:c r="J11" s="40" t="n">
        <x:f>IF(F11="Open",H11*I11,IF(F11="Large corporate",(2500+ROUNDUP(MAX(0,H11-20)/10,0)*650)*G11,2500*G11))</x:f>
        <x:v>5000</x:v>
      </x:c>
      <x:c r="K11" s="40" t="n">
        <x:f>G11*700</x:f>
        <x:v>1400</x:v>
      </x:c>
      <x:c r="L11" s="68" t="n">
        <x:f>IF(F11="Large corporate",MAX(0,ROUNDUP(H11/30,0)-1),0)</x:f>
        <x:v>0</x:v>
      </x:c>
      <x:c r="M11" s="40" t="n">
        <x:f>L11*175*G11</x:f>
        <x:v>0</x:v>
      </x:c>
      <x:c r="N11" s="40" t="n">
        <x:f>IF(F11="Open",600*G11,0)</x:f>
        <x:v>0</x:v>
      </x:c>
      <x:c r="O11" s="40" t="n">
        <x:v>300</x:v>
      </x:c>
      <x:c r="P11" s="40" t="n">
        <x:f>H11*15*G11</x:f>
        <x:v>600</x:v>
      </x:c>
      <x:c r="Q11" s="40" t="n">
        <x:f>J11*5%</x:f>
        <x:v>250</x:v>
      </x:c>
      <x:c r="R11" s="40" t="n">
        <x:f>SUM(K11,M11:Q11)</x:f>
        <x:v>2550</x:v>
      </x:c>
      <x:c r="S11" s="40" t="n">
        <x:f>J11-R11</x:f>
        <x:v>2450</x:v>
      </x:c>
      <x:c r="T11" s="85" t="n">
        <x:f>S11/J11</x:f>
        <x:v>0.49</x:v>
      </x:c>
    </x:row>
    <x:row r="12">
      <x:c r="B12" s="27" t="str">
        <x:v>P06</x:v>
      </x:c>
      <x:c r="C12" s="27" t="str">
        <x:v>Mar</x:v>
      </x:c>
      <x:c r="D12" s="27" t="str">
        <x:v>Linda Smile</x:v>
      </x:c>
      <x:c r="E12" s="27" t="str">
        <x:v>Advanced Micromanagement</x:v>
      </x:c>
      <x:c r="F12" s="27" t="str">
        <x:v>Open</x:v>
      </x:c>
      <x:c r="G12" s="27" t="n">
        <x:v>2</x:v>
      </x:c>
      <x:c r="H12" s="27" t="n">
        <x:v>20</x:v>
      </x:c>
      <x:c r="I12" s="27" t="n">
        <x:v>500</x:v>
      </x:c>
      <x:c r="J12" s="40" t="n">
        <x:f>IF(F12="Open",H12*I12,IF(F12="Large corporate",(2500+ROUNDUP(MAX(0,H12-20)/10,0)*650)*G12,2500*G12))</x:f>
        <x:v>10000</x:v>
      </x:c>
      <x:c r="K12" s="40" t="n">
        <x:f>G12*700</x:f>
        <x:v>1400</x:v>
      </x:c>
      <x:c r="L12" s="68" t="n">
        <x:f>IF(F12="Large corporate",MAX(0,ROUNDUP(H12/30,0)-1),0)</x:f>
        <x:v>0</x:v>
      </x:c>
      <x:c r="M12" s="40" t="n">
        <x:f>L12*175*G12</x:f>
        <x:v>0</x:v>
      </x:c>
      <x:c r="N12" s="40" t="n">
        <x:f>IF(F12="Open",600*G12,0)</x:f>
        <x:v>1200</x:v>
      </x:c>
      <x:c r="O12" s="40" t="n">
        <x:v>0</x:v>
      </x:c>
      <x:c r="P12" s="40" t="n">
        <x:f>H12*15*G12</x:f>
        <x:v>600</x:v>
      </x:c>
      <x:c r="Q12" s="40" t="n">
        <x:f>J12*5%</x:f>
        <x:v>500</x:v>
      </x:c>
      <x:c r="R12" s="40" t="n">
        <x:f>SUM(K12,M12:Q12)</x:f>
        <x:v>3700</x:v>
      </x:c>
      <x:c r="S12" s="40" t="n">
        <x:f>J12-R12</x:f>
        <x:v>6300</x:v>
      </x:c>
      <x:c r="T12" s="85" t="n">
        <x:f>S12/J12</x:f>
        <x:v>0.63</x:v>
      </x:c>
    </x:row>
    <x:row r="13">
      <x:c r="B13" s="27" t="str">
        <x:v>P07</x:v>
      </x:c>
      <x:c r="C13" s="27" t="str">
        <x:v>Apr</x:v>
      </x:c>
      <x:c r="D13" s="27" t="str">
        <x:v>Mark Pressure</x:v>
      </x:c>
      <x:c r="E13" s="27" t="str">
        <x:v>Call Until They Buy</x:v>
      </x:c>
      <x:c r="F13" s="27" t="str">
        <x:v>Standard corporate</x:v>
      </x:c>
      <x:c r="G13" s="27" t="n">
        <x:v>2</x:v>
      </x:c>
      <x:c r="H13" s="27" t="n">
        <x:v>20</x:v>
      </x:c>
      <x:c r="I13" s="27" t="n">
        <x:v>0</x:v>
      </x:c>
      <x:c r="J13" s="40" t="n">
        <x:f>IF(F13="Open",H13*I13,IF(F13="Large corporate",(2500+ROUNDUP(MAX(0,H13-20)/10,0)*650)*G13,2500*G13))</x:f>
        <x:v>5000</x:v>
      </x:c>
      <x:c r="K13" s="40" t="n">
        <x:f>G13*700</x:f>
        <x:v>1400</x:v>
      </x:c>
      <x:c r="L13" s="68" t="n">
        <x:f>IF(F13="Large corporate",MAX(0,ROUNDUP(H13/30,0)-1),0)</x:f>
        <x:v>0</x:v>
      </x:c>
      <x:c r="M13" s="40" t="n">
        <x:f>L13*175*G13</x:f>
        <x:v>0</x:v>
      </x:c>
      <x:c r="N13" s="40" t="n">
        <x:f>IF(F13="Open",600*G13,0)</x:f>
        <x:v>0</x:v>
      </x:c>
      <x:c r="O13" s="40" t="n">
        <x:v>250</x:v>
      </x:c>
      <x:c r="P13" s="40" t="n">
        <x:f>H13*15*G13</x:f>
        <x:v>600</x:v>
      </x:c>
      <x:c r="Q13" s="40" t="n">
        <x:f>J13*5%</x:f>
        <x:v>250</x:v>
      </x:c>
      <x:c r="R13" s="40" t="n">
        <x:f>SUM(K13,M13:Q13)</x:f>
        <x:v>2500</x:v>
      </x:c>
      <x:c r="S13" s="40" t="n">
        <x:f>J13-R13</x:f>
        <x:v>2500</x:v>
      </x:c>
      <x:c r="T13" s="85" t="n">
        <x:f>S13/J13</x:f>
        <x:v>0.5</x:v>
      </x:c>
    </x:row>
    <x:row r="14">
      <x:c r="B14" s="27" t="str">
        <x:v>P08</x:v>
      </x:c>
      <x:c r="C14" s="27" t="str">
        <x:v>Apr</x:v>
      </x:c>
      <x:c r="D14" s="27" t="str">
        <x:v>Peter Late</x:v>
      </x:c>
      <x:c r="E14" s="27" t="str">
        <x:v>Promise First Ask Later</x:v>
      </x:c>
      <x:c r="F14" s="27" t="str">
        <x:v>Large corporate</x:v>
      </x:c>
      <x:c r="G14" s="27" t="n">
        <x:v>1</x:v>
      </x:c>
      <x:c r="H14" s="27" t="n">
        <x:v>90</x:v>
      </x:c>
      <x:c r="I14" s="27" t="n">
        <x:v>0</x:v>
      </x:c>
      <x:c r="J14" s="40" t="n">
        <x:f>IF(F14="Open",H14*I14,IF(F14="Large corporate",(2500+ROUNDUP(MAX(0,H14-20)/10,0)*650)*G14,2500*G14))</x:f>
        <x:v>7050</x:v>
      </x:c>
      <x:c r="K14" s="40" t="n">
        <x:f>G14*700</x:f>
        <x:v>700</x:v>
      </x:c>
      <x:c r="L14" s="68" t="n">
        <x:f>IF(F14="Large corporate",MAX(0,ROUNDUP(H14/30,0)-1),0)</x:f>
        <x:v>2</x:v>
      </x:c>
      <x:c r="M14" s="40" t="n">
        <x:f>L14*175*G14</x:f>
        <x:v>350</x:v>
      </x:c>
      <x:c r="N14" s="40" t="n">
        <x:f>IF(F14="Open",600*G14,0)</x:f>
        <x:v>0</x:v>
      </x:c>
      <x:c r="O14" s="40" t="n">
        <x:v>900</x:v>
      </x:c>
      <x:c r="P14" s="40" t="n">
        <x:f>H14*15*G14</x:f>
        <x:v>1350</x:v>
      </x:c>
      <x:c r="Q14" s="40" t="n">
        <x:f>J14*5%</x:f>
        <x:v>352.5</x:v>
      </x:c>
      <x:c r="R14" s="40" t="n">
        <x:f>SUM(K14,M14:Q14)</x:f>
        <x:v>3652.5</x:v>
      </x:c>
      <x:c r="S14" s="40" t="n">
        <x:f>J14-R14</x:f>
        <x:v>3397.5</x:v>
      </x:c>
      <x:c r="T14" s="85" t="n">
        <x:f>S14/J14</x:f>
        <x:v>0.4819148936170213</x:v>
      </x:c>
    </x:row>
    <x:row r="15">
      <x:c r="B15" s="27" t="str">
        <x:v>P09</x:v>
      </x:c>
      <x:c r="C15" s="27" t="str">
        <x:v>May</x:v>
      </x:c>
      <x:c r="D15" s="27" t="str">
        <x:v>Anna Power</x:v>
      </x:c>
      <x:c r="E15" s="27" t="str">
        <x:v>Professional Blame Delegation</x:v>
      </x:c>
      <x:c r="F15" s="27" t="str">
        <x:v>Standard corporate</x:v>
      </x:c>
      <x:c r="G15" s="27" t="n">
        <x:v>1</x:v>
      </x:c>
      <x:c r="H15" s="27" t="n">
        <x:v>20</x:v>
      </x:c>
      <x:c r="I15" s="27" t="n">
        <x:v>0</x:v>
      </x:c>
      <x:c r="J15" s="40" t="n">
        <x:f>IF(F15="Open",H15*I15,IF(F15="Large corporate",(2500+ROUNDUP(MAX(0,H15-20)/10,0)*650)*G15,2500*G15))</x:f>
        <x:v>2500</x:v>
      </x:c>
      <x:c r="K15" s="40" t="n">
        <x:f>G15*700</x:f>
        <x:v>700</x:v>
      </x:c>
      <x:c r="L15" s="68" t="n">
        <x:f>IF(F15="Large corporate",MAX(0,ROUNDUP(H15/30,0)-1),0)</x:f>
        <x:v>0</x:v>
      </x:c>
      <x:c r="M15" s="40" t="n">
        <x:f>L15*175*G15</x:f>
        <x:v>0</x:v>
      </x:c>
      <x:c r="N15" s="40" t="n">
        <x:f>IF(F15="Open",600*G15,0)</x:f>
        <x:v>0</x:v>
      </x:c>
      <x:c r="O15" s="40" t="n">
        <x:v>0</x:v>
      </x:c>
      <x:c r="P15" s="40" t="n">
        <x:f>H15*15*G15</x:f>
        <x:v>300</x:v>
      </x:c>
      <x:c r="Q15" s="40" t="n">
        <x:f>J15*5%</x:f>
        <x:v>125</x:v>
      </x:c>
      <x:c r="R15" s="40" t="n">
        <x:f>SUM(K15,M15:Q15)</x:f>
        <x:v>1125</x:v>
      </x:c>
      <x:c r="S15" s="40" t="n">
        <x:f>J15-R15</x:f>
        <x:v>1375</x:v>
      </x:c>
      <x:c r="T15" s="85" t="n">
        <x:f>S15/J15</x:f>
        <x:v>0.55</x:v>
      </x:c>
    </x:row>
    <x:row r="16">
      <x:c r="B16" s="27" t="str">
        <x:v>P10</x:v>
      </x:c>
      <x:c r="C16" s="27" t="str">
        <x:v>May</x:v>
      </x:c>
      <x:c r="D16" s="27" t="str">
        <x:v>Linda Smile</x:v>
      </x:c>
      <x:c r="E16" s="27" t="str">
        <x:v>Executive Blame Delegation</x:v>
      </x:c>
      <x:c r="F16" s="27" t="str">
        <x:v>Open</x:v>
      </x:c>
      <x:c r="G16" s="27" t="n">
        <x:v>2</x:v>
      </x:c>
      <x:c r="H16" s="27" t="n">
        <x:v>18</x:v>
      </x:c>
      <x:c r="I16" s="27" t="n">
        <x:v>600</x:v>
      </x:c>
      <x:c r="J16" s="40" t="n">
        <x:f>IF(F16="Open",H16*I16,IF(F16="Large corporate",(2500+ROUNDUP(MAX(0,H16-20)/10,0)*650)*G16,2500*G16))</x:f>
        <x:v>10800</x:v>
      </x:c>
      <x:c r="K16" s="40" t="n">
        <x:f>G16*700</x:f>
        <x:v>1400</x:v>
      </x:c>
      <x:c r="L16" s="68" t="n">
        <x:f>IF(F16="Large corporate",MAX(0,ROUNDUP(H16/30,0)-1),0)</x:f>
        <x:v>0</x:v>
      </x:c>
      <x:c r="M16" s="40" t="n">
        <x:f>L16*175*G16</x:f>
        <x:v>0</x:v>
      </x:c>
      <x:c r="N16" s="40" t="n">
        <x:f>IF(F16="Open",600*G16,0)</x:f>
        <x:v>1200</x:v>
      </x:c>
      <x:c r="O16" s="40" t="n">
        <x:v>0</x:v>
      </x:c>
      <x:c r="P16" s="40" t="n">
        <x:f>H16*15*G16</x:f>
        <x:v>540</x:v>
      </x:c>
      <x:c r="Q16" s="40" t="n">
        <x:f>J16*5%</x:f>
        <x:v>540</x:v>
      </x:c>
      <x:c r="R16" s="40" t="n">
        <x:f>SUM(K16,M16:Q16)</x:f>
        <x:v>3680</x:v>
      </x:c>
      <x:c r="S16" s="40" t="n">
        <x:f>J16-R16</x:f>
        <x:v>7120</x:v>
      </x:c>
      <x:c r="T16" s="85" t="n">
        <x:f>S16/J16</x:f>
        <x:v>0.6592592592592592</x:v>
      </x:c>
    </x:row>
    <x:row r="17">
      <x:c r="B17" s="27" t="str">
        <x:v>P11</x:v>
      </x:c>
      <x:c r="C17" s="27" t="str">
        <x:v>Jun</x:v>
      </x:c>
      <x:c r="D17" s="27" t="str">
        <x:v>Ella Fast</x:v>
      </x:c>
      <x:c r="E17" s="27" t="str">
        <x:v>Advanced Micromanagement</x:v>
      </x:c>
      <x:c r="F17" s="27" t="str">
        <x:v>Standard corporate</x:v>
      </x:c>
      <x:c r="G17" s="27" t="n">
        <x:v>2</x:v>
      </x:c>
      <x:c r="H17" s="27" t="n">
        <x:v>20</x:v>
      </x:c>
      <x:c r="I17" s="27" t="n">
        <x:v>0</x:v>
      </x:c>
      <x:c r="J17" s="40" t="n">
        <x:f>IF(F17="Open",H17*I17,IF(F17="Large corporate",(2500+ROUNDUP(MAX(0,H17-20)/10,0)*650)*G17,2500*G17))</x:f>
        <x:v>5000</x:v>
      </x:c>
      <x:c r="K17" s="40" t="n">
        <x:f>G17*700</x:f>
        <x:v>1400</x:v>
      </x:c>
      <x:c r="L17" s="68" t="n">
        <x:f>IF(F17="Large corporate",MAX(0,ROUNDUP(H17/30,0)-1),0)</x:f>
        <x:v>0</x:v>
      </x:c>
      <x:c r="M17" s="40" t="n">
        <x:f>L17*175*G17</x:f>
        <x:v>0</x:v>
      </x:c>
      <x:c r="N17" s="40" t="n">
        <x:f>IF(F17="Open",600*G17,0)</x:f>
        <x:v>0</x:v>
      </x:c>
      <x:c r="O17" s="40" t="n">
        <x:v>400</x:v>
      </x:c>
      <x:c r="P17" s="40" t="n">
        <x:f>H17*15*G17</x:f>
        <x:v>600</x:v>
      </x:c>
      <x:c r="Q17" s="40" t="n">
        <x:f>J17*5%</x:f>
        <x:v>250</x:v>
      </x:c>
      <x:c r="R17" s="40" t="n">
        <x:f>SUM(K17,M17:Q17)</x:f>
        <x:v>2650</x:v>
      </x:c>
      <x:c r="S17" s="40" t="n">
        <x:f>J17-R17</x:f>
        <x:v>2350</x:v>
      </x:c>
      <x:c r="T17" s="85" t="n">
        <x:f>S17/J17</x:f>
        <x:v>0.47</x:v>
      </x:c>
    </x:row>
    <x:row r="18">
      <x:c r="B18" s="27" t="str">
        <x:v>P12</x:v>
      </x:c>
      <x:c r="C18" s="27" t="str">
        <x:v>Jun</x:v>
      </x:c>
      <x:c r="D18" s="27" t="str">
        <x:v>Mark Pressure</x:v>
      </x:c>
      <x:c r="E18" s="27" t="str">
        <x:v>Call Until They Buy</x:v>
      </x:c>
      <x:c r="F18" s="27" t="str">
        <x:v>Large corporate</x:v>
      </x:c>
      <x:c r="G18" s="27" t="n">
        <x:v>2</x:v>
      </x:c>
      <x:c r="H18" s="27" t="n">
        <x:v>70</x:v>
      </x:c>
      <x:c r="I18" s="27" t="n">
        <x:v>0</x:v>
      </x:c>
      <x:c r="J18" s="40" t="n">
        <x:f>IF(F18="Open",H18*I18,IF(F18="Large corporate",(2500+ROUNDUP(MAX(0,H18-20)/10,0)*650)*G18,2500*G18))</x:f>
        <x:v>11500</x:v>
      </x:c>
      <x:c r="K18" s="40" t="n">
        <x:f>G18*700</x:f>
        <x:v>1400</x:v>
      </x:c>
      <x:c r="L18" s="68" t="n">
        <x:f>IF(F18="Large corporate",MAX(0,ROUNDUP(H18/30,0)-1),0)</x:f>
        <x:v>2</x:v>
      </x:c>
      <x:c r="M18" s="40" t="n">
        <x:f>L18*175*G18</x:f>
        <x:v>700</x:v>
      </x:c>
      <x:c r="N18" s="40" t="n">
        <x:f>IF(F18="Open",600*G18,0)</x:f>
        <x:v>0</x:v>
      </x:c>
      <x:c r="O18" s="40" t="n">
        <x:v>600</x:v>
      </x:c>
      <x:c r="P18" s="40" t="n">
        <x:f>H18*15*G18</x:f>
        <x:v>2100</x:v>
      </x:c>
      <x:c r="Q18" s="40" t="n">
        <x:f>J18*5%</x:f>
        <x:v>575</x:v>
      </x:c>
      <x:c r="R18" s="40" t="n">
        <x:f>SUM(K18,M18:Q18)</x:f>
        <x:v>5375</x:v>
      </x:c>
      <x:c r="S18" s="40" t="n">
        <x:f>J18-R18</x:f>
        <x:v>6125</x:v>
      </x:c>
      <x:c r="T18" s="85" t="n">
        <x:f>S18/J18</x:f>
        <x:v>0.532608695652174</x:v>
      </x:c>
    </x:row>
    <x:row r="19">
      <x:c r="B19" s="27" t="str">
        <x:v>P13</x:v>
      </x:c>
      <x:c r="C19" s="27" t="str">
        <x:v>Jul</x:v>
      </x:c>
      <x:c r="D19" s="27" t="str">
        <x:v>Peter Late</x:v>
      </x:c>
      <x:c r="E19" s="27" t="str">
        <x:v>Meetings About Meetings</x:v>
      </x:c>
      <x:c r="F19" s="27" t="str">
        <x:v>Standard corporate</x:v>
      </x:c>
      <x:c r="G19" s="27" t="n">
        <x:v>1</x:v>
      </x:c>
      <x:c r="H19" s="27" t="n">
        <x:v>20</x:v>
      </x:c>
      <x:c r="I19" s="27" t="n">
        <x:v>0</x:v>
      </x:c>
      <x:c r="J19" s="40" t="n">
        <x:f>IF(F19="Open",H19*I19,IF(F19="Large corporate",(2500+ROUNDUP(MAX(0,H19-20)/10,0)*650)*G19,2500*G19))</x:f>
        <x:v>2500</x:v>
      </x:c>
      <x:c r="K19" s="40" t="n">
        <x:f>G19*700</x:f>
        <x:v>700</x:v>
      </x:c>
      <x:c r="L19" s="68" t="n">
        <x:f>IF(F19="Large corporate",MAX(0,ROUNDUP(H19/30,0)-1),0)</x:f>
        <x:v>0</x:v>
      </x:c>
      <x:c r="M19" s="40" t="n">
        <x:f>L19*175*G19</x:f>
        <x:v>0</x:v>
      </x:c>
      <x:c r="N19" s="40" t="n">
        <x:f>IF(F19="Open",600*G19,0)</x:f>
        <x:v>0</x:v>
      </x:c>
      <x:c r="O19" s="40" t="n">
        <x:v>0</x:v>
      </x:c>
      <x:c r="P19" s="40" t="n">
        <x:f>H19*15*G19</x:f>
        <x:v>300</x:v>
      </x:c>
      <x:c r="Q19" s="40" t="n">
        <x:f>J19*5%</x:f>
        <x:v>125</x:v>
      </x:c>
      <x:c r="R19" s="40" t="n">
        <x:f>SUM(K19,M19:Q19)</x:f>
        <x:v>1125</x:v>
      </x:c>
      <x:c r="S19" s="40" t="n">
        <x:f>J19-R19</x:f>
        <x:v>1375</x:v>
      </x:c>
      <x:c r="T19" s="85" t="n">
        <x:f>S19/J19</x:f>
        <x:v>0.55</x:v>
      </x:c>
    </x:row>
    <x:row r="20">
      <x:c r="B20" s="27" t="str">
        <x:v>P14</x:v>
      </x:c>
      <x:c r="C20" s="27" t="str">
        <x:v>Aug</x:v>
      </x:c>
      <x:c r="D20" s="27" t="str">
        <x:v>Ella Fast</x:v>
      </x:c>
      <x:c r="E20" s="27" t="str">
        <x:v>Promise First Ask Later</x:v>
      </x:c>
      <x:c r="F20" s="27" t="str">
        <x:v>Standard corporate</x:v>
      </x:c>
      <x:c r="G20" s="27" t="n">
        <x:v>2</x:v>
      </x:c>
      <x:c r="H20" s="27" t="n">
        <x:v>20</x:v>
      </x:c>
      <x:c r="I20" s="27" t="n">
        <x:v>0</x:v>
      </x:c>
      <x:c r="J20" s="40" t="n">
        <x:f>IF(F20="Open",H20*I20,IF(F20="Large corporate",(2500+ROUNDUP(MAX(0,H20-20)/10,0)*650)*G20,2500*G20))</x:f>
        <x:v>5000</x:v>
      </x:c>
      <x:c r="K20" s="40" t="n">
        <x:f>G20*700</x:f>
        <x:v>1400</x:v>
      </x:c>
      <x:c r="L20" s="68" t="n">
        <x:f>IF(F20="Large corporate",MAX(0,ROUNDUP(H20/30,0)-1),0)</x:f>
        <x:v>0</x:v>
      </x:c>
      <x:c r="M20" s="40" t="n">
        <x:f>L20*175*G20</x:f>
        <x:v>0</x:v>
      </x:c>
      <x:c r="N20" s="40" t="n">
        <x:f>IF(F20="Open",600*G20,0)</x:f>
        <x:v>0</x:v>
      </x:c>
      <x:c r="O20" s="40" t="n">
        <x:v>500</x:v>
      </x:c>
      <x:c r="P20" s="40" t="n">
        <x:f>H20*15*G20</x:f>
        <x:v>600</x:v>
      </x:c>
      <x:c r="Q20" s="40" t="n">
        <x:f>J20*5%</x:f>
        <x:v>250</x:v>
      </x:c>
      <x:c r="R20" s="40" t="n">
        <x:f>SUM(K20,M20:Q20)</x:f>
        <x:v>2750</x:v>
      </x:c>
      <x:c r="S20" s="40" t="n">
        <x:f>J20-R20</x:f>
        <x:v>2250</x:v>
      </x:c>
      <x:c r="T20" s="85" t="n">
        <x:f>S20/J20</x:f>
        <x:v>0.45</x:v>
      </x:c>
    </x:row>
    <x:row r="21">
      <x:c r="B21" s="27" t="str">
        <x:v>P15</x:v>
      </x:c>
      <x:c r="C21" s="27" t="str">
        <x:v>Aug</x:v>
      </x:c>
      <x:c r="D21" s="27" t="str">
        <x:v>Linda Smile</x:v>
      </x:c>
      <x:c r="E21" s="27" t="str">
        <x:v>How to Look Busy All Day</x:v>
      </x:c>
      <x:c r="F21" s="27" t="str">
        <x:v>Open</x:v>
      </x:c>
      <x:c r="G21" s="27" t="n">
        <x:v>1</x:v>
      </x:c>
      <x:c r="H21" s="27" t="n">
        <x:v>20</x:v>
      </x:c>
      <x:c r="I21" s="27" t="n">
        <x:v>200</x:v>
      </x:c>
      <x:c r="J21" s="40" t="n">
        <x:f>IF(F21="Open",H21*I21,IF(F21="Large corporate",(2500+ROUNDUP(MAX(0,H21-20)/10,0)*650)*G21,2500*G21))</x:f>
        <x:v>4000</x:v>
      </x:c>
      <x:c r="K21" s="40" t="n">
        <x:f>G21*700</x:f>
        <x:v>700</x:v>
      </x:c>
      <x:c r="L21" s="68" t="n">
        <x:f>IF(F21="Large corporate",MAX(0,ROUNDUP(H21/30,0)-1),0)</x:f>
        <x:v>0</x:v>
      </x:c>
      <x:c r="M21" s="40" t="n">
        <x:f>L21*175*G21</x:f>
        <x:v>0</x:v>
      </x:c>
      <x:c r="N21" s="40" t="n">
        <x:f>IF(F21="Open",600*G21,0)</x:f>
        <x:v>600</x:v>
      </x:c>
      <x:c r="O21" s="40" t="n">
        <x:v>0</x:v>
      </x:c>
      <x:c r="P21" s="40" t="n">
        <x:f>H21*15*G21</x:f>
        <x:v>300</x:v>
      </x:c>
      <x:c r="Q21" s="40" t="n">
        <x:f>J21*5%</x:f>
        <x:v>200</x:v>
      </x:c>
      <x:c r="R21" s="40" t="n">
        <x:f>SUM(K21,M21:Q21)</x:f>
        <x:v>1800</x:v>
      </x:c>
      <x:c r="S21" s="40" t="n">
        <x:f>J21-R21</x:f>
        <x:v>2200</x:v>
      </x:c>
      <x:c r="T21" s="85" t="n">
        <x:f>S21/J21</x:f>
        <x:v>0.55</x:v>
      </x:c>
    </x:row>
    <x:row r="22">
      <x:c r="B22" s="27" t="str">
        <x:v>P16</x:v>
      </x:c>
      <x:c r="C22" s="27" t="str">
        <x:v>Sep</x:v>
      </x:c>
      <x:c r="D22" s="27" t="str">
        <x:v>Anna Power</x:v>
      </x:c>
      <x:c r="E22" s="27" t="str">
        <x:v>Advanced Micromanagement</x:v>
      </x:c>
      <x:c r="F22" s="27" t="str">
        <x:v>Large corporate</x:v>
      </x:c>
      <x:c r="G22" s="27" t="n">
        <x:v>2</x:v>
      </x:c>
      <x:c r="H22" s="27" t="n">
        <x:v>100</x:v>
      </x:c>
      <x:c r="I22" s="27" t="n">
        <x:v>0</x:v>
      </x:c>
      <x:c r="J22" s="40" t="n">
        <x:f>IF(F22="Open",H22*I22,IF(F22="Large corporate",(2500+ROUNDUP(MAX(0,H22-20)/10,0)*650)*G22,2500*G22))</x:f>
        <x:v>15400</x:v>
      </x:c>
      <x:c r="K22" s="40" t="n">
        <x:f>G22*700</x:f>
        <x:v>1400</x:v>
      </x:c>
      <x:c r="L22" s="68" t="n">
        <x:f>IF(F22="Large corporate",MAX(0,ROUNDUP(H22/30,0)-1),0)</x:f>
        <x:v>3</x:v>
      </x:c>
      <x:c r="M22" s="40" t="n">
        <x:f>L22*175*G22</x:f>
        <x:v>1050</x:v>
      </x:c>
      <x:c r="N22" s="40" t="n">
        <x:f>IF(F22="Open",600*G22,0)</x:f>
        <x:v>0</x:v>
      </x:c>
      <x:c r="O22" s="40" t="n">
        <x:v>1200</x:v>
      </x:c>
      <x:c r="P22" s="40" t="n">
        <x:f>H22*15*G22</x:f>
        <x:v>3000</x:v>
      </x:c>
      <x:c r="Q22" s="40" t="n">
        <x:f>J22*5%</x:f>
        <x:v>770</x:v>
      </x:c>
      <x:c r="R22" s="40" t="n">
        <x:f>SUM(K22,M22:Q22)</x:f>
        <x:v>7420</x:v>
      </x:c>
      <x:c r="S22" s="40" t="n">
        <x:f>J22-R22</x:f>
        <x:v>7980</x:v>
      </x:c>
      <x:c r="T22" s="85" t="n">
        <x:f>S22/J22</x:f>
        <x:v>0.5181818181818182</x:v>
      </x:c>
    </x:row>
    <x:row r="23">
      <x:c r="B23" s="27" t="str">
        <x:v>P17</x:v>
      </x:c>
      <x:c r="C23" s="27" t="str">
        <x:v>Sep</x:v>
      </x:c>
      <x:c r="D23" s="27" t="str">
        <x:v>Mark Pressure</x:v>
      </x:c>
      <x:c r="E23" s="27" t="str">
        <x:v>Call Until They Buy</x:v>
      </x:c>
      <x:c r="F23" s="27" t="str">
        <x:v>Standard corporate</x:v>
      </x:c>
      <x:c r="G23" s="27" t="n">
        <x:v>2</x:v>
      </x:c>
      <x:c r="H23" s="27" t="n">
        <x:v>20</x:v>
      </x:c>
      <x:c r="I23" s="27" t="n">
        <x:v>0</x:v>
      </x:c>
      <x:c r="J23" s="40" t="n">
        <x:f>IF(F23="Open",H23*I23,IF(F23="Large corporate",(2500+ROUNDUP(MAX(0,H23-20)/10,0)*650)*G23,2500*G23))</x:f>
        <x:v>5000</x:v>
      </x:c>
      <x:c r="K23" s="40" t="n">
        <x:f>G23*700</x:f>
        <x:v>1400</x:v>
      </x:c>
      <x:c r="L23" s="68" t="n">
        <x:f>IF(F23="Large corporate",MAX(0,ROUNDUP(H23/30,0)-1),0)</x:f>
        <x:v>0</x:v>
      </x:c>
      <x:c r="M23" s="40" t="n">
        <x:f>L23*175*G23</x:f>
        <x:v>0</x:v>
      </x:c>
      <x:c r="N23" s="40" t="n">
        <x:f>IF(F23="Open",600*G23,0)</x:f>
        <x:v>0</x:v>
      </x:c>
      <x:c r="O23" s="40" t="n">
        <x:v>300</x:v>
      </x:c>
      <x:c r="P23" s="40" t="n">
        <x:f>H23*15*G23</x:f>
        <x:v>600</x:v>
      </x:c>
      <x:c r="Q23" s="40" t="n">
        <x:f>J23*5%</x:f>
        <x:v>250</x:v>
      </x:c>
      <x:c r="R23" s="40" t="n">
        <x:f>SUM(K23,M23:Q23)</x:f>
        <x:v>2550</x:v>
      </x:c>
      <x:c r="S23" s="40" t="n">
        <x:f>J23-R23</x:f>
        <x:v>2450</x:v>
      </x:c>
      <x:c r="T23" s="85" t="n">
        <x:f>S23/J23</x:f>
        <x:v>0.49</x:v>
      </x:c>
    </x:row>
    <x:row r="24">
      <x:c r="B24" s="27" t="str">
        <x:v>P18</x:v>
      </x:c>
      <x:c r="C24" s="27" t="str">
        <x:v>Sep</x:v>
      </x:c>
      <x:c r="D24" s="27" t="str">
        <x:v>Linda Smile</x:v>
      </x:c>
      <x:c r="E24" s="27" t="str">
        <x:v>Executive Blame Delegation</x:v>
      </x:c>
      <x:c r="F24" s="27" t="str">
        <x:v>Open</x:v>
      </x:c>
      <x:c r="G24" s="27" t="n">
        <x:v>2</x:v>
      </x:c>
      <x:c r="H24" s="27" t="n">
        <x:v>20</x:v>
      </x:c>
      <x:c r="I24" s="27" t="n">
        <x:v>600</x:v>
      </x:c>
      <x:c r="J24" s="40" t="n">
        <x:f>IF(F24="Open",H24*I24,IF(F24="Large corporate",(2500+ROUNDUP(MAX(0,H24-20)/10,0)*650)*G24,2500*G24))</x:f>
        <x:v>12000</x:v>
      </x:c>
      <x:c r="K24" s="40" t="n">
        <x:f>G24*700</x:f>
        <x:v>1400</x:v>
      </x:c>
      <x:c r="L24" s="68" t="n">
        <x:f>IF(F24="Large corporate",MAX(0,ROUNDUP(H24/30,0)-1),0)</x:f>
        <x:v>0</x:v>
      </x:c>
      <x:c r="M24" s="40" t="n">
        <x:f>L24*175*G24</x:f>
        <x:v>0</x:v>
      </x:c>
      <x:c r="N24" s="40" t="n">
        <x:f>IF(F24="Open",600*G24,0)</x:f>
        <x:v>1200</x:v>
      </x:c>
      <x:c r="O24" s="40" t="n">
        <x:v>0</x:v>
      </x:c>
      <x:c r="P24" s="40" t="n">
        <x:f>H24*15*G24</x:f>
        <x:v>600</x:v>
      </x:c>
      <x:c r="Q24" s="40" t="n">
        <x:f>J24*5%</x:f>
        <x:v>600</x:v>
      </x:c>
      <x:c r="R24" s="40" t="n">
        <x:f>SUM(K24,M24:Q24)</x:f>
        <x:v>3800</x:v>
      </x:c>
      <x:c r="S24" s="40" t="n">
        <x:f>J24-R24</x:f>
        <x:v>8200</x:v>
      </x:c>
      <x:c r="T24" s="85" t="n">
        <x:f>S24/J24</x:f>
        <x:v>0.6833333333333333</x:v>
      </x:c>
    </x:row>
    <x:row r="25">
      <x:c r="B25" s="27" t="str">
        <x:v>P19</x:v>
      </x:c>
      <x:c r="C25" s="27" t="str">
        <x:v>Oct</x:v>
      </x:c>
      <x:c r="D25" s="27" t="str">
        <x:v>Peter Late</x:v>
      </x:c>
      <x:c r="E25" s="27" t="str">
        <x:v>Professional Blame Delegation</x:v>
      </x:c>
      <x:c r="F25" s="27" t="str">
        <x:v>Standard corporate</x:v>
      </x:c>
      <x:c r="G25" s="27" t="n">
        <x:v>2</x:v>
      </x:c>
      <x:c r="H25" s="27" t="n">
        <x:v>20</x:v>
      </x:c>
      <x:c r="I25" s="27" t="n">
        <x:v>0</x:v>
      </x:c>
      <x:c r="J25" s="40" t="n">
        <x:f>IF(F25="Open",H25*I25,IF(F25="Large corporate",(2500+ROUNDUP(MAX(0,H25-20)/10,0)*650)*G25,2500*G25))</x:f>
        <x:v>5000</x:v>
      </x:c>
      <x:c r="K25" s="40" t="n">
        <x:f>G25*700</x:f>
        <x:v>1400</x:v>
      </x:c>
      <x:c r="L25" s="68" t="n">
        <x:f>IF(F25="Large corporate",MAX(0,ROUNDUP(H25/30,0)-1),0)</x:f>
        <x:v>0</x:v>
      </x:c>
      <x:c r="M25" s="40" t="n">
        <x:f>L25*175*G25</x:f>
        <x:v>0</x:v>
      </x:c>
      <x:c r="N25" s="40" t="n">
        <x:f>IF(F25="Open",600*G25,0)</x:f>
        <x:v>0</x:v>
      </x:c>
      <x:c r="O25" s="40" t="n">
        <x:v>0</x:v>
      </x:c>
      <x:c r="P25" s="40" t="n">
        <x:f>H25*15*G25</x:f>
        <x:v>600</x:v>
      </x:c>
      <x:c r="Q25" s="40" t="n">
        <x:f>J25*5%</x:f>
        <x:v>250</x:v>
      </x:c>
      <x:c r="R25" s="40" t="n">
        <x:f>SUM(K25,M25:Q25)</x:f>
        <x:v>2250</x:v>
      </x:c>
      <x:c r="S25" s="40" t="n">
        <x:f>J25-R25</x:f>
        <x:v>2750</x:v>
      </x:c>
      <x:c r="T25" s="85" t="n">
        <x:f>S25/J25</x:f>
        <x:v>0.55</x:v>
      </x:c>
    </x:row>
    <x:row r="26">
      <x:c r="B26" s="27" t="str">
        <x:v>P20</x:v>
      </x:c>
      <x:c r="C26" s="27" t="str">
        <x:v>Oct</x:v>
      </x:c>
      <x:c r="D26" s="27" t="str">
        <x:v>Ella Fast</x:v>
      </x:c>
      <x:c r="E26" s="27" t="str">
        <x:v>Promise First Ask Later</x:v>
      </x:c>
      <x:c r="F26" s="27" t="str">
        <x:v>Large corporate</x:v>
      </x:c>
      <x:c r="G26" s="27" t="n">
        <x:v>1</x:v>
      </x:c>
      <x:c r="H26" s="27" t="n">
        <x:v>50</x:v>
      </x:c>
      <x:c r="I26" s="27" t="n">
        <x:v>0</x:v>
      </x:c>
      <x:c r="J26" s="40" t="n">
        <x:f>IF(F26="Open",H26*I26,IF(F26="Large corporate",(2500+ROUNDUP(MAX(0,H26-20)/10,0)*650)*G26,2500*G26))</x:f>
        <x:v>4450</x:v>
      </x:c>
      <x:c r="K26" s="40" t="n">
        <x:f>G26*700</x:f>
        <x:v>700</x:v>
      </x:c>
      <x:c r="L26" s="68" t="n">
        <x:f>IF(F26="Large corporate",MAX(0,ROUNDUP(H26/30,0)-1),0)</x:f>
        <x:v>1</x:v>
      </x:c>
      <x:c r="M26" s="40" t="n">
        <x:f>L26*175*G26</x:f>
        <x:v>175</x:v>
      </x:c>
      <x:c r="N26" s="40" t="n">
        <x:f>IF(F26="Open",600*G26,0)</x:f>
        <x:v>0</x:v>
      </x:c>
      <x:c r="O26" s="40" t="n">
        <x:v>700</x:v>
      </x:c>
      <x:c r="P26" s="40" t="n">
        <x:f>H26*15*G26</x:f>
        <x:v>750</x:v>
      </x:c>
      <x:c r="Q26" s="40" t="n">
        <x:f>J26*5%</x:f>
        <x:v>222.5</x:v>
      </x:c>
      <x:c r="R26" s="40" t="n">
        <x:f>SUM(K26,M26:Q26)</x:f>
        <x:v>2547.5</x:v>
      </x:c>
      <x:c r="S26" s="40" t="n">
        <x:f>J26-R26</x:f>
        <x:v>1902.5</x:v>
      </x:c>
      <x:c r="T26" s="85" t="n">
        <x:f>S26/J26</x:f>
        <x:v>0.42752808988764046</x:v>
      </x:c>
    </x:row>
    <x:row r="27">
      <x:c r="B27" s="27" t="str">
        <x:v>P21</x:v>
      </x:c>
      <x:c r="C27" s="27" t="str">
        <x:v>Oct</x:v>
      </x:c>
      <x:c r="D27" s="27" t="str">
        <x:v>Linda Smile</x:v>
      </x:c>
      <x:c r="E27" s="27" t="str">
        <x:v>Advanced Micromanagement</x:v>
      </x:c>
      <x:c r="F27" s="27" t="str">
        <x:v>Open</x:v>
      </x:c>
      <x:c r="G27" s="27" t="n">
        <x:v>2</x:v>
      </x:c>
      <x:c r="H27" s="27" t="n">
        <x:v>20</x:v>
      </x:c>
      <x:c r="I27" s="27" t="n">
        <x:v>500</x:v>
      </x:c>
      <x:c r="J27" s="40" t="n">
        <x:f>IF(F27="Open",H27*I27,IF(F27="Large corporate",(2500+ROUNDUP(MAX(0,H27-20)/10,0)*650)*G27,2500*G27))</x:f>
        <x:v>10000</x:v>
      </x:c>
      <x:c r="K27" s="40" t="n">
        <x:f>G27*700</x:f>
        <x:v>1400</x:v>
      </x:c>
      <x:c r="L27" s="68" t="n">
        <x:f>IF(F27="Large corporate",MAX(0,ROUNDUP(H27/30,0)-1),0)</x:f>
        <x:v>0</x:v>
      </x:c>
      <x:c r="M27" s="40" t="n">
        <x:f>L27*175*G27</x:f>
        <x:v>0</x:v>
      </x:c>
      <x:c r="N27" s="40" t="n">
        <x:f>IF(F27="Open",600*G27,0)</x:f>
        <x:v>1200</x:v>
      </x:c>
      <x:c r="O27" s="40" t="n">
        <x:v>0</x:v>
      </x:c>
      <x:c r="P27" s="40" t="n">
        <x:f>H27*15*G27</x:f>
        <x:v>600</x:v>
      </x:c>
      <x:c r="Q27" s="40" t="n">
        <x:f>J27*5%</x:f>
        <x:v>500</x:v>
      </x:c>
      <x:c r="R27" s="40" t="n">
        <x:f>SUM(K27,M27:Q27)</x:f>
        <x:v>3700</x:v>
      </x:c>
      <x:c r="S27" s="40" t="n">
        <x:f>J27-R27</x:f>
        <x:v>6300</x:v>
      </x:c>
      <x:c r="T27" s="85" t="n">
        <x:f>S27/J27</x:f>
        <x:v>0.63</x:v>
      </x:c>
    </x:row>
    <x:row r="28">
      <x:c r="B28" s="27" t="str">
        <x:v>P22</x:v>
      </x:c>
      <x:c r="C28" s="27" t="str">
        <x:v>Nov</x:v>
      </x:c>
      <x:c r="D28" s="27" t="str">
        <x:v>Anna Power</x:v>
      </x:c>
      <x:c r="E28" s="27" t="str">
        <x:v>Meetings About Meetings</x:v>
      </x:c>
      <x:c r="F28" s="27" t="str">
        <x:v>Standard corporate</x:v>
      </x:c>
      <x:c r="G28" s="27" t="n">
        <x:v>2</x:v>
      </x:c>
      <x:c r="H28" s="27" t="n">
        <x:v>20</x:v>
      </x:c>
      <x:c r="I28" s="27" t="n">
        <x:v>0</x:v>
      </x:c>
      <x:c r="J28" s="40" t="n">
        <x:f>IF(F28="Open",H28*I28,IF(F28="Large corporate",(2500+ROUNDUP(MAX(0,H28-20)/10,0)*650)*G28,2500*G28))</x:f>
        <x:v>5000</x:v>
      </x:c>
      <x:c r="K28" s="40" t="n">
        <x:f>G28*700</x:f>
        <x:v>1400</x:v>
      </x:c>
      <x:c r="L28" s="68" t="n">
        <x:f>IF(F28="Large corporate",MAX(0,ROUNDUP(H28/30,0)-1),0)</x:f>
        <x:v>0</x:v>
      </x:c>
      <x:c r="M28" s="40" t="n">
        <x:f>L28*175*G28</x:f>
        <x:v>0</x:v>
      </x:c>
      <x:c r="N28" s="40" t="n">
        <x:f>IF(F28="Open",600*G28,0)</x:f>
        <x:v>0</x:v>
      </x:c>
      <x:c r="O28" s="40" t="n">
        <x:v>250</x:v>
      </x:c>
      <x:c r="P28" s="40" t="n">
        <x:f>H28*15*G28</x:f>
        <x:v>600</x:v>
      </x:c>
      <x:c r="Q28" s="40" t="n">
        <x:f>J28*5%</x:f>
        <x:v>250</x:v>
      </x:c>
      <x:c r="R28" s="40" t="n">
        <x:f>SUM(K28,M28:Q28)</x:f>
        <x:v>2500</x:v>
      </x:c>
      <x:c r="S28" s="40" t="n">
        <x:f>J28-R28</x:f>
        <x:v>2500</x:v>
      </x:c>
      <x:c r="T28" s="85" t="n">
        <x:f>S28/J28</x:f>
        <x:v>0.5</x:v>
      </x:c>
    </x:row>
    <x:row r="29">
      <x:c r="B29" s="27" t="str">
        <x:v>P23</x:v>
      </x:c>
      <x:c r="C29" s="27" t="str">
        <x:v>Nov</x:v>
      </x:c>
      <x:c r="D29" s="27" t="str">
        <x:v>Mark Pressure</x:v>
      </x:c>
      <x:c r="E29" s="27" t="str">
        <x:v>Call Until They Buy</x:v>
      </x:c>
      <x:c r="F29" s="27" t="str">
        <x:v>Large corporate</x:v>
      </x:c>
      <x:c r="G29" s="27" t="n">
        <x:v>2</x:v>
      </x:c>
      <x:c r="H29" s="27" t="n">
        <x:v>80</x:v>
      </x:c>
      <x:c r="I29" s="27" t="n">
        <x:v>0</x:v>
      </x:c>
      <x:c r="J29" s="40" t="n">
        <x:f>IF(F29="Open",H29*I29,IF(F29="Large corporate",(2500+ROUNDUP(MAX(0,H29-20)/10,0)*650)*G29,2500*G29))</x:f>
        <x:v>12800</x:v>
      </x:c>
      <x:c r="K29" s="40" t="n">
        <x:f>G29*700</x:f>
        <x:v>1400</x:v>
      </x:c>
      <x:c r="L29" s="68" t="n">
        <x:f>IF(F29="Large corporate",MAX(0,ROUNDUP(H29/30,0)-1),0)</x:f>
        <x:v>2</x:v>
      </x:c>
      <x:c r="M29" s="40" t="n">
        <x:f>L29*175*G29</x:f>
        <x:v>700</x:v>
      </x:c>
      <x:c r="N29" s="40" t="n">
        <x:f>IF(F29="Open",600*G29,0)</x:f>
        <x:v>0</x:v>
      </x:c>
      <x:c r="O29" s="40" t="n">
        <x:v>800</x:v>
      </x:c>
      <x:c r="P29" s="40" t="n">
        <x:f>H29*15*G29</x:f>
        <x:v>2400</x:v>
      </x:c>
      <x:c r="Q29" s="40" t="n">
        <x:f>J29*5%</x:f>
        <x:v>640</x:v>
      </x:c>
      <x:c r="R29" s="40" t="n">
        <x:f>SUM(K29,M29:Q29)</x:f>
        <x:v>5940</x:v>
      </x:c>
      <x:c r="S29" s="40" t="n">
        <x:f>J29-R29</x:f>
        <x:v>6860</x:v>
      </x:c>
      <x:c r="T29" s="85" t="n">
        <x:f>S29/J29</x:f>
        <x:v>0.5359375</x:v>
      </x:c>
    </x:row>
    <x:row r="30">
      <x:c r="B30" s="27" t="str">
        <x:v>P24</x:v>
      </x:c>
      <x:c r="C30" s="27" t="str">
        <x:v>Nov</x:v>
      </x:c>
      <x:c r="D30" s="27" t="str">
        <x:v>Linda Smile</x:v>
      </x:c>
      <x:c r="E30" s="27" t="str">
        <x:v>How to Look Busy All Day</x:v>
      </x:c>
      <x:c r="F30" s="27" t="str">
        <x:v>Open</x:v>
      </x:c>
      <x:c r="G30" s="27" t="n">
        <x:v>1</x:v>
      </x:c>
      <x:c r="H30" s="27" t="n">
        <x:v>20</x:v>
      </x:c>
      <x:c r="I30" s="27" t="n">
        <x:v>200</x:v>
      </x:c>
      <x:c r="J30" s="40" t="n">
        <x:f>IF(F30="Open",H30*I30,IF(F30="Large corporate",(2500+ROUNDUP(MAX(0,H30-20)/10,0)*650)*G30,2500*G30))</x:f>
        <x:v>4000</x:v>
      </x:c>
      <x:c r="K30" s="40" t="n">
        <x:f>G30*700</x:f>
        <x:v>700</x:v>
      </x:c>
      <x:c r="L30" s="68" t="n">
        <x:f>IF(F30="Large corporate",MAX(0,ROUNDUP(H30/30,0)-1),0)</x:f>
        <x:v>0</x:v>
      </x:c>
      <x:c r="M30" s="40" t="n">
        <x:f>L30*175*G30</x:f>
        <x:v>0</x:v>
      </x:c>
      <x:c r="N30" s="40" t="n">
        <x:f>IF(F30="Open",600*G30,0)</x:f>
        <x:v>600</x:v>
      </x:c>
      <x:c r="O30" s="40" t="n">
        <x:v>0</x:v>
      </x:c>
      <x:c r="P30" s="40" t="n">
        <x:f>H30*15*G30</x:f>
        <x:v>300</x:v>
      </x:c>
      <x:c r="Q30" s="40" t="n">
        <x:f>J30*5%</x:f>
        <x:v>200</x:v>
      </x:c>
      <x:c r="R30" s="40" t="n">
        <x:f>SUM(K30,M30:Q30)</x:f>
        <x:v>1800</x:v>
      </x:c>
      <x:c r="S30" s="40" t="n">
        <x:f>J30-R30</x:f>
        <x:v>2200</x:v>
      </x:c>
      <x:c r="T30" s="85" t="n">
        <x:f>S30/J30</x:f>
        <x:v>0.55</x:v>
      </x:c>
    </x:row>
    <x:row r="31">
      <x:c r="B31" s="27" t="str">
        <x:v>P25</x:v>
      </x:c>
      <x:c r="C31" s="27" t="str">
        <x:v>Dec</x:v>
      </x:c>
      <x:c r="D31" s="27" t="str">
        <x:v>Peter Late</x:v>
      </x:c>
      <x:c r="E31" s="27" t="str">
        <x:v>Professional Blame Delegation</x:v>
      </x:c>
      <x:c r="F31" s="27" t="str">
        <x:v>Standard corporate</x:v>
      </x:c>
      <x:c r="G31" s="27" t="n">
        <x:v>1</x:v>
      </x:c>
      <x:c r="H31" s="27" t="n">
        <x:v>20</x:v>
      </x:c>
      <x:c r="I31" s="27" t="n">
        <x:v>0</x:v>
      </x:c>
      <x:c r="J31" s="40" t="n">
        <x:f>IF(F31="Open",H31*I31,IF(F31="Large corporate",(2500+ROUNDUP(MAX(0,H31-20)/10,0)*650)*G31,2500*G31))</x:f>
        <x:v>2500</x:v>
      </x:c>
      <x:c r="K31" s="40" t="n">
        <x:f>G31*700</x:f>
        <x:v>700</x:v>
      </x:c>
      <x:c r="L31" s="68" t="n">
        <x:f>IF(F31="Large corporate",MAX(0,ROUNDUP(H31/30,0)-1),0)</x:f>
        <x:v>0</x:v>
      </x:c>
      <x:c r="M31" s="40" t="n">
        <x:f>L31*175*G31</x:f>
        <x:v>0</x:v>
      </x:c>
      <x:c r="N31" s="40" t="n">
        <x:f>IF(F31="Open",600*G31,0)</x:f>
        <x:v>0</x:v>
      </x:c>
      <x:c r="O31" s="40" t="n">
        <x:v>0</x:v>
      </x:c>
      <x:c r="P31" s="40" t="n">
        <x:f>H31*15*G31</x:f>
        <x:v>300</x:v>
      </x:c>
      <x:c r="Q31" s="40" t="n">
        <x:f>J31*5%</x:f>
        <x:v>125</x:v>
      </x:c>
      <x:c r="R31" s="40" t="n">
        <x:f>SUM(K31,M31:Q31)</x:f>
        <x:v>1125</x:v>
      </x:c>
      <x:c r="S31" s="40" t="n">
        <x:f>J31-R31</x:f>
        <x:v>1375</x:v>
      </x:c>
      <x:c r="T31" s="85" t="n">
        <x:f>S31/J31</x:f>
        <x:v>0.55</x:v>
      </x:c>
    </x:row>
    <x:row r="32">
      <x:c r="B32" s="27" t="str">
        <x:v>P26</x:v>
      </x:c>
      <x:c r="C32" s="27" t="str">
        <x:v>Dec</x:v>
      </x:c>
      <x:c r="D32" s="27" t="str">
        <x:v>Ella Fast</x:v>
      </x:c>
      <x:c r="E32" s="27" t="str">
        <x:v>Advanced Micromanagement</x:v>
      </x:c>
      <x:c r="F32" s="27" t="str">
        <x:v>Standard corporate</x:v>
      </x:c>
      <x:c r="G32" s="27" t="n">
        <x:v>2</x:v>
      </x:c>
      <x:c r="H32" s="27" t="n">
        <x:v>20</x:v>
      </x:c>
      <x:c r="I32" s="27" t="n">
        <x:v>0</x:v>
      </x:c>
      <x:c r="J32" s="40" t="n">
        <x:f>IF(F32="Open",H32*I32,IF(F32="Large corporate",(2500+ROUNDUP(MAX(0,H32-20)/10,0)*650)*G32,2500*G32))</x:f>
        <x:v>5000</x:v>
      </x:c>
      <x:c r="K32" s="40" t="n">
        <x:f>G32*700</x:f>
        <x:v>1400</x:v>
      </x:c>
      <x:c r="L32" s="68" t="n">
        <x:f>IF(F32="Large corporate",MAX(0,ROUNDUP(H32/30,0)-1),0)</x:f>
        <x:v>0</x:v>
      </x:c>
      <x:c r="M32" s="40" t="n">
        <x:f>L32*175*G32</x:f>
        <x:v>0</x:v>
      </x:c>
      <x:c r="N32" s="40" t="n">
        <x:f>IF(F32="Open",600*G32,0)</x:f>
        <x:v>0</x:v>
      </x:c>
      <x:c r="O32" s="40" t="n">
        <x:v>450</x:v>
      </x:c>
      <x:c r="P32" s="40" t="n">
        <x:f>H32*15*G32</x:f>
        <x:v>600</x:v>
      </x:c>
      <x:c r="Q32" s="40" t="n">
        <x:f>J32*5%</x:f>
        <x:v>250</x:v>
      </x:c>
      <x:c r="R32" s="40" t="n">
        <x:f>SUM(K32,M32:Q32)</x:f>
        <x:v>2700</x:v>
      </x:c>
      <x:c r="S32" s="40" t="n">
        <x:f>J32-R32</x:f>
        <x:v>2300</x:v>
      </x:c>
      <x:c r="T32" s="85" t="n">
        <x:f>S32/J32</x:f>
        <x:v>0.46</x:v>
      </x:c>
    </x:row>
    <x:row r="33">
      <x:c r="B33" s="27"/>
      <x:c r="C33" s="27"/>
      <x:c r="D33" s="27"/>
      <x:c r="E33" s="27"/>
      <x:c r="F33" s="27"/>
      <x:c r="G33" s="27"/>
      <x:c r="H33" s="27"/>
      <x:c r="I33" s="27"/>
      <x:c r="J33" s="40"/>
      <x:c r="K33" s="40"/>
      <x:c r="L33" s="68"/>
      <x:c r="M33" s="40"/>
      <x:c r="N33" s="40"/>
      <x:c r="O33" s="40"/>
      <x:c r="P33" s="40"/>
      <x:c r="Q33" s="40"/>
      <x:c r="R33" s="40"/>
      <x:c r="S33" s="40"/>
      <x:c r="T33" s="85"/>
    </x:row>
    <x:row r="34">
      <x:c r="B34" s="78" t="str">
        <x:v>TOTAL</x:v>
      </x:c>
      <x:c r="C34" s="78" t="str"/>
      <x:c r="D34" s="78" t="str"/>
      <x:c r="E34" s="78" t="str"/>
      <x:c r="F34" s="78" t="str"/>
      <x:c r="G34" s="78" t="str"/>
      <x:c r="H34" s="78" t="str"/>
      <x:c r="I34" s="78" t="str"/>
      <x:c r="J34" s="79" t="n">
        <x:f>SUM(J7:J32)</x:f>
        <x:v>170800</x:v>
      </x:c>
      <x:c r="K34" s="79" t="n">
        <x:f>SUM(K7:K32)</x:f>
        <x:v>30100</x:v>
      </x:c>
      <x:c r="L34" s="86" t="n">
        <x:f>SUM(L7:L32)</x:f>
        <x:v>11</x:v>
      </x:c>
      <x:c r="M34" s="79" t="n">
        <x:f>SUM(M7:M32)</x:f>
        <x:v>3325</x:v>
      </x:c>
      <x:c r="N34" s="79" t="n">
        <x:f>SUM(N7:N32)</x:f>
        <x:v>6600</x:v>
      </x:c>
      <x:c r="O34" s="79" t="n">
        <x:f>SUM(O7:O32)</x:f>
        <x:v>7450</x:v>
      </x:c>
      <x:c r="P34" s="79" t="n">
        <x:f>SUM(P7:P32)</x:f>
        <x:v>21180</x:v>
      </x:c>
      <x:c r="Q34" s="79" t="n">
        <x:f>SUM(Q7:Q32)</x:f>
        <x:v>8540</x:v>
      </x:c>
      <x:c r="R34" s="79" t="n">
        <x:f>SUM(R7:R32)</x:f>
        <x:v>77195</x:v>
      </x:c>
      <x:c r="S34" s="79" t="n">
        <x:f>SUM(S7:S32)</x:f>
        <x:v>93605</x:v>
      </x:c>
      <x:c r="T34" s="80" t="n">
        <x:f>S34/J34</x:f>
        <x:v>0.5480386416861827</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 hidden="0" customWidth="1"/>
    <x:col min="2" max="2" width="24" hidden="0" customWidth="1"/>
    <x:col min="3" max="3" width="2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4" hidden="0" customWidth="1"/>
  </x:cols>
  <x:sheetData>
    <x:row r="2">
      <x:c r="B2" s="24" t="str">
        <x:v>Draft Operating Expenses</x:v>
      </x:c>
      <x:c r="C2" s="25"/>
      <x:c r="D2" s="25"/>
      <x:c r="E2" s="25"/>
      <x:c r="F2" s="25"/>
      <x:c r="G2" s="25"/>
      <x:c r="H2" s="25"/>
      <x:c r="I2" s="25"/>
      <x:c r="J2" s="25"/>
      <x:c r="K2" s="25"/>
      <x:c r="L2" s="25"/>
      <x:c r="M2" s="25"/>
      <x:c r="N2" s="25"/>
      <x:c r="O2" s="25"/>
      <x:c r="P2" s="25"/>
    </x:row>
    <x:row r="3">
      <x:c r="B3" s="26" t="str">
        <x:v>2026 monthly operating-expense budget supplied by finance. EUR excluding VAT.</x:v>
      </x:c>
      <x:c r="C3" s="26"/>
      <x:c r="D3" s="26"/>
      <x:c r="E3" s="26"/>
      <x:c r="F3" s="26"/>
      <x:c r="G3" s="26"/>
      <x:c r="H3" s="26"/>
      <x:c r="I3" s="26"/>
      <x:c r="J3" s="26"/>
      <x:c r="K3" s="26"/>
      <x:c r="L3" s="26"/>
      <x:c r="M3" s="26"/>
      <x:c r="N3" s="26"/>
      <x:c r="O3" s="26"/>
      <x:c r="P3" s="26"/>
    </x:row>
    <x:row r="4">
      <x:c r="B4" s="27"/>
      <x:c r="C4" s="27"/>
      <x:c r="D4" s="27"/>
      <x:c r="E4" s="27"/>
      <x:c r="F4" s="27"/>
      <x:c r="G4" s="27"/>
      <x:c r="H4" s="27"/>
      <x:c r="I4" s="27"/>
      <x:c r="J4" s="27"/>
      <x:c r="K4" s="27"/>
      <x:c r="L4" s="27"/>
      <x:c r="M4" s="27"/>
      <x:c r="N4" s="27"/>
      <x:c r="O4" s="27"/>
      <x:c r="P4" s="27"/>
    </x:row>
    <x:row r="5">
      <x:c r="B5" s="27"/>
      <x:c r="C5" s="27"/>
      <x:c r="D5" s="27"/>
      <x:c r="E5" s="27"/>
      <x:c r="F5" s="27"/>
      <x:c r="G5" s="27"/>
      <x:c r="H5" s="27"/>
      <x:c r="I5" s="27"/>
      <x:c r="J5" s="27"/>
      <x:c r="K5" s="27"/>
      <x:c r="L5" s="27"/>
      <x:c r="M5" s="27"/>
      <x:c r="N5" s="27"/>
      <x:c r="O5" s="27"/>
      <x:c r="P5" s="27"/>
    </x:row>
    <x:row r="6">
      <x:c r="B6" s="8" t="str">
        <x:v>Expense</x:v>
      </x:c>
      <x:c r="C6" s="8" t="str">
        <x:v>Department</x:v>
      </x:c>
      <x:c r="D6" s="8" t="str">
        <x:v>Jan</x:v>
      </x:c>
      <x:c r="E6" s="8" t="str">
        <x:v>Feb</x:v>
      </x:c>
      <x:c r="F6" s="8" t="str">
        <x:v>Mar</x:v>
      </x:c>
      <x:c r="G6" s="8" t="str">
        <x:v>Apr</x:v>
      </x:c>
      <x:c r="H6" s="8" t="str">
        <x:v>May</x:v>
      </x:c>
      <x:c r="I6" s="8" t="str">
        <x:v>Jun</x:v>
      </x:c>
      <x:c r="J6" s="8" t="str">
        <x:v>Jul</x:v>
      </x:c>
      <x:c r="K6" s="8" t="str">
        <x:v>Aug</x:v>
      </x:c>
      <x:c r="L6" s="8" t="str">
        <x:v>Sep</x:v>
      </x:c>
      <x:c r="M6" s="8" t="str">
        <x:v>Oct</x:v>
      </x:c>
      <x:c r="N6" s="8" t="str">
        <x:v>Nov</x:v>
      </x:c>
      <x:c r="O6" s="8" t="str">
        <x:v>Dec</x:v>
      </x:c>
      <x:c r="P6" s="8" t="str">
        <x:v>FY Total</x:v>
      </x:c>
    </x:row>
    <x:row r="7">
      <x:c r="B7" s="27" t="str">
        <x:v>Sales salaries</x:v>
      </x:c>
      <x:c r="C7" s="27" t="str">
        <x:v>Sales</x:v>
      </x:c>
      <x:c r="D7" s="40" t="n">
        <x:v>7200</x:v>
      </x:c>
      <x:c r="E7" s="40" t="n">
        <x:v>7200</x:v>
      </x:c>
      <x:c r="F7" s="40" t="n">
        <x:v>7200</x:v>
      </x:c>
      <x:c r="G7" s="40" t="n">
        <x:v>7200</x:v>
      </x:c>
      <x:c r="H7" s="40" t="n">
        <x:v>7200</x:v>
      </x:c>
      <x:c r="I7" s="40" t="n">
        <x:v>7200</x:v>
      </x:c>
      <x:c r="J7" s="40" t="n">
        <x:v>7200</x:v>
      </x:c>
      <x:c r="K7" s="40" t="n">
        <x:v>7200</x:v>
      </x:c>
      <x:c r="L7" s="40" t="n">
        <x:v>7200</x:v>
      </x:c>
      <x:c r="M7" s="40" t="n">
        <x:v>7200</x:v>
      </x:c>
      <x:c r="N7" s="40" t="n">
        <x:v>7200</x:v>
      </x:c>
      <x:c r="O7" s="40" t="n">
        <x:v>7200</x:v>
      </x:c>
      <x:c r="P7" s="40" t="n">
        <x:f>SUM(D7:O7)</x:f>
        <x:v>86400</x:v>
      </x:c>
    </x:row>
    <x:row r="8">
      <x:c r="B8" s="27" t="str">
        <x:v>Delivery team salaries</x:v>
      </x:c>
      <x:c r="C8" s="27" t="str">
        <x:v>Operations</x:v>
      </x:c>
      <x:c r="D8" s="40" t="n">
        <x:v>2500</x:v>
      </x:c>
      <x:c r="E8" s="40" t="n">
        <x:v>2500</x:v>
      </x:c>
      <x:c r="F8" s="40" t="n">
        <x:v>2500</x:v>
      </x:c>
      <x:c r="G8" s="40" t="n">
        <x:v>2500</x:v>
      </x:c>
      <x:c r="H8" s="40" t="n">
        <x:v>2500</x:v>
      </x:c>
      <x:c r="I8" s="40" t="n">
        <x:v>2500</x:v>
      </x:c>
      <x:c r="J8" s="40" t="n">
        <x:v>2500</x:v>
      </x:c>
      <x:c r="K8" s="40" t="n">
        <x:v>2500</x:v>
      </x:c>
      <x:c r="L8" s="40" t="n">
        <x:v>2500</x:v>
      </x:c>
      <x:c r="M8" s="40" t="n">
        <x:v>2500</x:v>
      </x:c>
      <x:c r="N8" s="40" t="n">
        <x:v>2500</x:v>
      </x:c>
      <x:c r="O8" s="40" t="n">
        <x:v>2500</x:v>
      </x:c>
      <x:c r="P8" s="40" t="n">
        <x:f>SUM(D8:O8)</x:f>
        <x:v>30000</x:v>
      </x:c>
    </x:row>
    <x:row r="9">
      <x:c r="B9" s="27" t="str">
        <x:v>Administration salaries</x:v>
      </x:c>
      <x:c r="C9" s="27" t="str">
        <x:v>Administration</x:v>
      </x:c>
      <x:c r="D9" s="40" t="n">
        <x:v>2000</x:v>
      </x:c>
      <x:c r="E9" s="40" t="n">
        <x:v>2000</x:v>
      </x:c>
      <x:c r="F9" s="40" t="n">
        <x:v>2000</x:v>
      </x:c>
      <x:c r="G9" s="40" t="n">
        <x:v>2000</x:v>
      </x:c>
      <x:c r="H9" s="40" t="n">
        <x:v>2000</x:v>
      </x:c>
      <x:c r="I9" s="40" t="n">
        <x:v>2000</x:v>
      </x:c>
      <x:c r="J9" s="40" t="n">
        <x:v>2000</x:v>
      </x:c>
      <x:c r="K9" s="40" t="n">
        <x:v>2000</x:v>
      </x:c>
      <x:c r="L9" s="40" t="n">
        <x:v>2000</x:v>
      </x:c>
      <x:c r="M9" s="40" t="n">
        <x:v>2000</x:v>
      </x:c>
      <x:c r="N9" s="40" t="n">
        <x:v>2000</x:v>
      </x:c>
      <x:c r="O9" s="40" t="n">
        <x:v>2000</x:v>
      </x:c>
      <x:c r="P9" s="40" t="n">
        <x:f>SUM(D9:O9)</x:f>
        <x:v>24000</x:v>
      </x:c>
    </x:row>
    <x:row r="10">
      <x:c r="B10" s="27" t="str">
        <x:v>Employer payroll costs</x:v>
      </x:c>
      <x:c r="C10" s="27" t="str">
        <x:v>25% of fixed salaries (case assumption)</x:v>
      </x:c>
      <x:c r="D10" s="40" t="n">
        <x:f>SUM(D7:D9)*25%</x:f>
        <x:v>2925</x:v>
      </x:c>
      <x:c r="E10" s="40" t="n">
        <x:f>SUM(E7:E9)*25%</x:f>
        <x:v>2925</x:v>
      </x:c>
      <x:c r="F10" s="40" t="n">
        <x:f>SUM(F7:F9)*25%</x:f>
        <x:v>2925</x:v>
      </x:c>
      <x:c r="G10" s="40" t="n">
        <x:f>SUM(G7:G9)*25%</x:f>
        <x:v>2925</x:v>
      </x:c>
      <x:c r="H10" s="40" t="n">
        <x:f>SUM(H7:H9)*25%</x:f>
        <x:v>2925</x:v>
      </x:c>
      <x:c r="I10" s="40" t="n">
        <x:f>SUM(I7:I9)*25%</x:f>
        <x:v>2925</x:v>
      </x:c>
      <x:c r="J10" s="40" t="n">
        <x:f>SUM(J7:J9)*25%</x:f>
        <x:v>2925</x:v>
      </x:c>
      <x:c r="K10" s="40" t="n">
        <x:f>SUM(K7:K9)*25%</x:f>
        <x:v>2925</x:v>
      </x:c>
      <x:c r="L10" s="40" t="n">
        <x:f>SUM(L7:L9)*25%</x:f>
        <x:v>2925</x:v>
      </x:c>
      <x:c r="M10" s="40" t="n">
        <x:f>SUM(M7:M9)*25%</x:f>
        <x:v>2925</x:v>
      </x:c>
      <x:c r="N10" s="40" t="n">
        <x:f>SUM(N7:N9)*25%</x:f>
        <x:v>2925</x:v>
      </x:c>
      <x:c r="O10" s="40" t="n">
        <x:f>SUM(O7:O9)*25%</x:f>
        <x:v>2925</x:v>
      </x:c>
      <x:c r="P10" s="40" t="n">
        <x:f>SUM(D10:O10)</x:f>
        <x:v>35100</x:v>
      </x:c>
    </x:row>
    <x:row r="11">
      <x:c r="B11" s="27" t="str">
        <x:v>Marketing</x:v>
      </x:c>
      <x:c r="C11" s="27" t="str">
        <x:v>Marketing</x:v>
      </x:c>
      <x:c r="D11" s="40" t="n">
        <x:v>5500</x:v>
      </x:c>
      <x:c r="E11" s="40" t="n">
        <x:v>5000</x:v>
      </x:c>
      <x:c r="F11" s="40" t="n">
        <x:v>5000</x:v>
      </x:c>
      <x:c r="G11" s="40" t="n">
        <x:v>4500</x:v>
      </x:c>
      <x:c r="H11" s="40" t="n">
        <x:v>4000</x:v>
      </x:c>
      <x:c r="I11" s="40" t="n">
        <x:v>3500</x:v>
      </x:c>
      <x:c r="J11" s="40" t="n">
        <x:v>2000</x:v>
      </x:c>
      <x:c r="K11" s="40" t="n">
        <x:v>3000</x:v>
      </x:c>
      <x:c r="L11" s="40" t="n">
        <x:v>5500</x:v>
      </x:c>
      <x:c r="M11" s="40" t="n">
        <x:v>6000</x:v>
      </x:c>
      <x:c r="N11" s="40" t="n">
        <x:v>5000</x:v>
      </x:c>
      <x:c r="O11" s="40" t="n">
        <x:v>3500</x:v>
      </x:c>
      <x:c r="P11" s="40" t="n">
        <x:f>SUM(D11:O11)</x:f>
        <x:v>52500</x:v>
      </x:c>
    </x:row>
    <x:row r="12">
      <x:c r="B12" s="27" t="str">
        <x:v>Office rent and utilities</x:v>
      </x:c>
      <x:c r="C12" s="27" t="str">
        <x:v>Administration</x:v>
      </x:c>
      <x:c r="D12" s="40" t="n">
        <x:v>1800</x:v>
      </x:c>
      <x:c r="E12" s="40" t="n">
        <x:v>1800</x:v>
      </x:c>
      <x:c r="F12" s="40" t="n">
        <x:v>1800</x:v>
      </x:c>
      <x:c r="G12" s="40" t="n">
        <x:v>1800</x:v>
      </x:c>
      <x:c r="H12" s="40" t="n">
        <x:v>1800</x:v>
      </x:c>
      <x:c r="I12" s="40" t="n">
        <x:v>1800</x:v>
      </x:c>
      <x:c r="J12" s="40" t="n">
        <x:v>1800</x:v>
      </x:c>
      <x:c r="K12" s="40" t="n">
        <x:v>1800</x:v>
      </x:c>
      <x:c r="L12" s="40" t="n">
        <x:v>1800</x:v>
      </x:c>
      <x:c r="M12" s="40" t="n">
        <x:v>1800</x:v>
      </x:c>
      <x:c r="N12" s="40" t="n">
        <x:v>1800</x:v>
      </x:c>
      <x:c r="O12" s="40" t="n">
        <x:v>1800</x:v>
      </x:c>
      <x:c r="P12" s="40" t="n">
        <x:f>SUM(D12:O12)</x:f>
        <x:v>21600</x:v>
      </x:c>
    </x:row>
    <x:row r="13">
      <x:c r="B13" s="27" t="str">
        <x:v>Software</x:v>
      </x:c>
      <x:c r="C13" s="27" t="str">
        <x:v>Administration</x:v>
      </x:c>
      <x:c r="D13" s="40" t="n">
        <x:v>450</x:v>
      </x:c>
      <x:c r="E13" s="40" t="n">
        <x:v>450</x:v>
      </x:c>
      <x:c r="F13" s="40" t="n">
        <x:v>450</x:v>
      </x:c>
      <x:c r="G13" s="40" t="n">
        <x:v>450</x:v>
      </x:c>
      <x:c r="H13" s="40" t="n">
        <x:v>450</x:v>
      </x:c>
      <x:c r="I13" s="40" t="n">
        <x:v>450</x:v>
      </x:c>
      <x:c r="J13" s="40" t="n">
        <x:v>450</x:v>
      </x:c>
      <x:c r="K13" s="40" t="n">
        <x:v>450</x:v>
      </x:c>
      <x:c r="L13" s="40" t="n">
        <x:v>450</x:v>
      </x:c>
      <x:c r="M13" s="40" t="n">
        <x:v>450</x:v>
      </x:c>
      <x:c r="N13" s="40" t="n">
        <x:v>450</x:v>
      </x:c>
      <x:c r="O13" s="40" t="n">
        <x:v>450</x:v>
      </x:c>
      <x:c r="P13" s="40" t="n">
        <x:f>SUM(D13:O13)</x:f>
        <x:v>5400</x:v>
      </x:c>
    </x:row>
    <x:row r="14">
      <x:c r="B14" s="27" t="str">
        <x:v>Accounting and legal</x:v>
      </x:c>
      <x:c r="C14" s="27" t="str">
        <x:v>Administration</x:v>
      </x:c>
      <x:c r="D14" s="40" t="n">
        <x:v>600</x:v>
      </x:c>
      <x:c r="E14" s="40" t="n">
        <x:v>600</x:v>
      </x:c>
      <x:c r="F14" s="40" t="n">
        <x:v>600</x:v>
      </x:c>
      <x:c r="G14" s="40" t="n">
        <x:v>600</x:v>
      </x:c>
      <x:c r="H14" s="40" t="n">
        <x:v>600</x:v>
      </x:c>
      <x:c r="I14" s="40" t="n">
        <x:v>600</x:v>
      </x:c>
      <x:c r="J14" s="40" t="n">
        <x:v>600</x:v>
      </x:c>
      <x:c r="K14" s="40" t="n">
        <x:v>600</x:v>
      </x:c>
      <x:c r="L14" s="40" t="n">
        <x:v>600</x:v>
      </x:c>
      <x:c r="M14" s="40" t="n">
        <x:v>600</x:v>
      </x:c>
      <x:c r="N14" s="40" t="n">
        <x:v>600</x:v>
      </x:c>
      <x:c r="O14" s="40" t="n">
        <x:v>600</x:v>
      </x:c>
      <x:c r="P14" s="40" t="n">
        <x:f>SUM(D14:O14)</x:f>
        <x:v>7200</x:v>
      </x:c>
    </x:row>
    <x:row r="15">
      <x:c r="B15" s="27" t="str">
        <x:v>Insurance</x:v>
      </x:c>
      <x:c r="C15" s="27" t="str">
        <x:v>Administration</x:v>
      </x:c>
      <x:c r="D15" s="40" t="n">
        <x:v>0</x:v>
      </x:c>
      <x:c r="E15" s="40" t="n">
        <x:v>0</x:v>
      </x:c>
      <x:c r="F15" s="40" t="n">
        <x:v>0</x:v>
      </x:c>
      <x:c r="G15" s="40" t="n">
        <x:v>1800</x:v>
      </x:c>
      <x:c r="H15" s="40" t="n">
        <x:v>0</x:v>
      </x:c>
      <x:c r="I15" s="40" t="n">
        <x:v>0</x:v>
      </x:c>
      <x:c r="J15" s="40" t="n">
        <x:v>0</x:v>
      </x:c>
      <x:c r="K15" s="40" t="n">
        <x:v>0</x:v>
      </x:c>
      <x:c r="L15" s="40" t="n">
        <x:v>0</x:v>
      </x:c>
      <x:c r="M15" s="40" t="n">
        <x:v>0</x:v>
      </x:c>
      <x:c r="N15" s="40" t="n">
        <x:v>0</x:v>
      </x:c>
      <x:c r="O15" s="40" t="n">
        <x:v>0</x:v>
      </x:c>
      <x:c r="P15" s="40" t="n">
        <x:f>SUM(D15:O15)</x:f>
        <x:v>1800</x:v>
      </x:c>
    </x:row>
    <x:row r="16">
      <x:c r="B16" s="27" t="str">
        <x:v>Administration travel</x:v>
      </x:c>
      <x:c r="C16" s="27" t="str">
        <x:v>Administration</x:v>
      </x:c>
      <x:c r="D16" s="40" t="n">
        <x:v>350</x:v>
      </x:c>
      <x:c r="E16" s="40" t="n">
        <x:v>350</x:v>
      </x:c>
      <x:c r="F16" s="40" t="n">
        <x:v>350</x:v>
      </x:c>
      <x:c r="G16" s="40" t="n">
        <x:v>350</x:v>
      </x:c>
      <x:c r="H16" s="40" t="n">
        <x:v>350</x:v>
      </x:c>
      <x:c r="I16" s="40" t="n">
        <x:v>350</x:v>
      </x:c>
      <x:c r="J16" s="40" t="n">
        <x:v>350</x:v>
      </x:c>
      <x:c r="K16" s="40" t="n">
        <x:v>350</x:v>
      </x:c>
      <x:c r="L16" s="40" t="n">
        <x:v>350</x:v>
      </x:c>
      <x:c r="M16" s="40" t="n">
        <x:v>350</x:v>
      </x:c>
      <x:c r="N16" s="40" t="n">
        <x:v>350</x:v>
      </x:c>
      <x:c r="O16" s="40" t="n">
        <x:v>350</x:v>
      </x:c>
      <x:c r="P16" s="40" t="n">
        <x:f>SUM(D16:O16)</x:f>
        <x:v>4200</x:v>
      </x:c>
    </x:row>
    <x:row r="17">
      <x:c r="B17" s="27" t="str">
        <x:v>Depreciation</x:v>
      </x:c>
      <x:c r="C17" s="27" t="str">
        <x:v>Finance</x:v>
      </x:c>
      <x:c r="D17" s="40" t="n">
        <x:v>800</x:v>
      </x:c>
      <x:c r="E17" s="40" t="n">
        <x:v>800</x:v>
      </x:c>
      <x:c r="F17" s="40" t="n">
        <x:v>800</x:v>
      </x:c>
      <x:c r="G17" s="40" t="n">
        <x:v>800</x:v>
      </x:c>
      <x:c r="H17" s="40" t="n">
        <x:v>800</x:v>
      </x:c>
      <x:c r="I17" s="40" t="n">
        <x:v>800</x:v>
      </x:c>
      <x:c r="J17" s="40" t="n">
        <x:v>800</x:v>
      </x:c>
      <x:c r="K17" s="40" t="n">
        <x:v>800</x:v>
      </x:c>
      <x:c r="L17" s="40" t="n">
        <x:v>800</x:v>
      </x:c>
      <x:c r="M17" s="40" t="n">
        <x:v>800</x:v>
      </x:c>
      <x:c r="N17" s="40" t="n">
        <x:v>800</x:v>
      </x:c>
      <x:c r="O17" s="40" t="n">
        <x:v>800</x:v>
      </x:c>
      <x:c r="P17" s="40" t="n">
        <x:f>SUM(D17:O17)</x:f>
        <x:v>9600</x:v>
      </x:c>
    </x:row>
    <x:row r="18">
      <x:c r="B18" s="27" t="str">
        <x:v>Interest</x:v>
      </x:c>
      <x:c r="C18" s="27" t="str">
        <x:v>Finance</x:v>
      </x:c>
      <x:c r="D18" s="40" t="n">
        <x:v>250</x:v>
      </x:c>
      <x:c r="E18" s="40" t="n">
        <x:v>250</x:v>
      </x:c>
      <x:c r="F18" s="40" t="n">
        <x:v>250</x:v>
      </x:c>
      <x:c r="G18" s="40" t="n">
        <x:v>250</x:v>
      </x:c>
      <x:c r="H18" s="40" t="n">
        <x:v>250</x:v>
      </x:c>
      <x:c r="I18" s="40" t="n">
        <x:v>250</x:v>
      </x:c>
      <x:c r="J18" s="40" t="n">
        <x:v>250</x:v>
      </x:c>
      <x:c r="K18" s="40" t="n">
        <x:v>250</x:v>
      </x:c>
      <x:c r="L18" s="40" t="n">
        <x:v>250</x:v>
      </x:c>
      <x:c r="M18" s="40" t="n">
        <x:v>250</x:v>
      </x:c>
      <x:c r="N18" s="40" t="n">
        <x:v>250</x:v>
      </x:c>
      <x:c r="O18" s="40" t="n">
        <x:v>250</x:v>
      </x:c>
      <x:c r="P18" s="40" t="n">
        <x:f>SUM(D18:O18)</x:f>
        <x:v>3000</x:v>
      </x:c>
    </x:row>
    <x:row r="19">
      <x:c r="B19" s="27" t="str">
        <x:v>Other expenses</x:v>
      </x:c>
      <x:c r="C19" s="27" t="str">
        <x:v>Administration</x:v>
      </x:c>
      <x:c r="D19" s="40" t="n">
        <x:v>350</x:v>
      </x:c>
      <x:c r="E19" s="40" t="n">
        <x:v>350</x:v>
      </x:c>
      <x:c r="F19" s="40" t="n">
        <x:v>350</x:v>
      </x:c>
      <x:c r="G19" s="40" t="n">
        <x:v>350</x:v>
      </x:c>
      <x:c r="H19" s="40" t="n">
        <x:v>350</x:v>
      </x:c>
      <x:c r="I19" s="40" t="n">
        <x:v>350</x:v>
      </x:c>
      <x:c r="J19" s="40" t="n">
        <x:v>350</x:v>
      </x:c>
      <x:c r="K19" s="40" t="n">
        <x:v>350</x:v>
      </x:c>
      <x:c r="L19" s="40" t="n">
        <x:v>350</x:v>
      </x:c>
      <x:c r="M19" s="40" t="n">
        <x:v>350</x:v>
      </x:c>
      <x:c r="N19" s="40" t="n">
        <x:v>350</x:v>
      </x:c>
      <x:c r="O19" s="40" t="n">
        <x:v>350</x:v>
      </x:c>
      <x:c r="P19" s="40" t="n">
        <x:f>SUM(D19:O19)</x:f>
        <x:v>4200</x:v>
      </x:c>
    </x:row>
    <x:row r="20">
      <x:c r="B20" s="27"/>
      <x:c r="C20" s="27"/>
      <x:c r="D20" s="40"/>
      <x:c r="E20" s="40"/>
      <x:c r="F20" s="40"/>
      <x:c r="G20" s="40"/>
      <x:c r="H20" s="40"/>
      <x:c r="I20" s="40"/>
      <x:c r="J20" s="40"/>
      <x:c r="K20" s="40"/>
      <x:c r="L20" s="40"/>
      <x:c r="M20" s="40"/>
      <x:c r="N20" s="40"/>
      <x:c r="O20" s="40"/>
      <x:c r="P20" s="40"/>
    </x:row>
    <x:row r="21">
      <x:c r="B21" s="78" t="str">
        <x:v>TOTAL</x:v>
      </x:c>
      <x:c r="C21" s="78" t="str">
        <x:v>All departments</x:v>
      </x:c>
      <x:c r="D21" s="79" t="n">
        <x:f>SUM(D7:D19)</x:f>
        <x:v>24725</x:v>
      </x:c>
      <x:c r="E21" s="79" t="n">
        <x:f>SUM(E7:E19)</x:f>
        <x:v>24225</x:v>
      </x:c>
      <x:c r="F21" s="79" t="n">
        <x:f>SUM(F7:F19)</x:f>
        <x:v>24225</x:v>
      </x:c>
      <x:c r="G21" s="79" t="n">
        <x:f>SUM(G7:G19)</x:f>
        <x:v>25525</x:v>
      </x:c>
      <x:c r="H21" s="79" t="n">
        <x:f>SUM(H7:H19)</x:f>
        <x:v>23225</x:v>
      </x:c>
      <x:c r="I21" s="79" t="n">
        <x:f>SUM(I7:I19)</x:f>
        <x:v>22725</x:v>
      </x:c>
      <x:c r="J21" s="79" t="n">
        <x:f>SUM(J7:J19)</x:f>
        <x:v>21225</x:v>
      </x:c>
      <x:c r="K21" s="79" t="n">
        <x:f>SUM(K7:K19)</x:f>
        <x:v>22225</x:v>
      </x:c>
      <x:c r="L21" s="79" t="n">
        <x:f>SUM(L7:L19)</x:f>
        <x:v>24725</x:v>
      </x:c>
      <x:c r="M21" s="79" t="n">
        <x:f>SUM(M7:M19)</x:f>
        <x:v>25225</x:v>
      </x:c>
      <x:c r="N21" s="79" t="n">
        <x:f>SUM(N7:N19)</x:f>
        <x:v>24225</x:v>
      </x:c>
      <x:c r="O21" s="79" t="n">
        <x:f>SUM(O7:O19)</x:f>
        <x:v>22725</x:v>
      </x:c>
      <x:c r="P21" s="79" t="n">
        <x:f>SUM(P7:P19)</x:f>
        <x:v>285000</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 hidden="0" customWidth="1"/>
    <x:col min="2" max="2" width="24" hidden="0" customWidth="1"/>
    <x:col min="3" max="3" width="2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4" hidden="0" customWidth="1"/>
  </x:cols>
  <x:sheetData>
    <x:row r="2">
      <x:c r="B2" s="24" t="str">
        <x:v>Draft Profit and Loss</x:v>
      </x:c>
      <x:c r="C2" s="25"/>
      <x:c r="D2" s="25"/>
      <x:c r="E2" s="25"/>
      <x:c r="F2" s="25"/>
      <x:c r="G2" s="25"/>
      <x:c r="H2" s="25"/>
      <x:c r="I2" s="25"/>
      <x:c r="J2" s="25"/>
      <x:c r="K2" s="25"/>
      <x:c r="L2" s="25"/>
      <x:c r="M2" s="25"/>
      <x:c r="N2" s="25"/>
      <x:c r="O2" s="25"/>
      <x:c r="P2" s="25"/>
    </x:row>
    <x:row r="3">
      <x:c r="B3" s="26" t="str">
        <x:v>Original 2026 departmental budget. Keep unchanged; produce Part 1 in sheet 10 and Part 2 in sheet 12.</x:v>
      </x:c>
      <x:c r="C3" s="26"/>
      <x:c r="D3" s="26"/>
      <x:c r="E3" s="26"/>
      <x:c r="F3" s="26"/>
      <x:c r="G3" s="26"/>
      <x:c r="H3" s="26"/>
      <x:c r="I3" s="26"/>
      <x:c r="J3" s="26"/>
      <x:c r="K3" s="26"/>
      <x:c r="L3" s="26"/>
      <x:c r="M3" s="26"/>
      <x:c r="N3" s="26"/>
      <x:c r="O3" s="26"/>
      <x:c r="P3" s="26"/>
    </x:row>
    <x:row r="4">
      <x:c r="B4" s="27"/>
      <x:c r="C4" s="27"/>
      <x:c r="D4" s="27"/>
      <x:c r="E4" s="27"/>
      <x:c r="F4" s="27"/>
      <x:c r="G4" s="27"/>
      <x:c r="H4" s="27"/>
      <x:c r="I4" s="27"/>
      <x:c r="J4" s="27"/>
      <x:c r="K4" s="27"/>
      <x:c r="L4" s="27"/>
      <x:c r="M4" s="27"/>
      <x:c r="N4" s="27"/>
      <x:c r="O4" s="27"/>
      <x:c r="P4" s="27"/>
    </x:row>
    <x:row r="5">
      <x:c r="B5" s="27"/>
      <x:c r="C5" s="27"/>
      <x:c r="D5" s="27"/>
      <x:c r="E5" s="27"/>
      <x:c r="F5" s="27"/>
      <x:c r="G5" s="27"/>
      <x:c r="H5" s="27"/>
      <x:c r="I5" s="27"/>
      <x:c r="J5" s="27"/>
      <x:c r="K5" s="27"/>
      <x:c r="L5" s="27"/>
      <x:c r="M5" s="27"/>
      <x:c r="N5" s="27"/>
      <x:c r="O5" s="27"/>
      <x:c r="P5" s="27"/>
    </x:row>
    <x:row r="6">
      <x:c r="B6" s="8" t="str">
        <x:v>P&amp;L line</x:v>
      </x:c>
      <x:c r="C6" s="8" t="str">
        <x:v>Source</x:v>
      </x:c>
      <x:c r="D6" s="8" t="str">
        <x:v>Jan</x:v>
      </x:c>
      <x:c r="E6" s="8" t="str">
        <x:v>Feb</x:v>
      </x:c>
      <x:c r="F6" s="8" t="str">
        <x:v>Mar</x:v>
      </x:c>
      <x:c r="G6" s="8" t="str">
        <x:v>Apr</x:v>
      </x:c>
      <x:c r="H6" s="8" t="str">
        <x:v>May</x:v>
      </x:c>
      <x:c r="I6" s="8" t="str">
        <x:v>Jun</x:v>
      </x:c>
      <x:c r="J6" s="8" t="str">
        <x:v>Jul</x:v>
      </x:c>
      <x:c r="K6" s="8" t="str">
        <x:v>Aug</x:v>
      </x:c>
      <x:c r="L6" s="8" t="str">
        <x:v>Sep</x:v>
      </x:c>
      <x:c r="M6" s="8" t="str">
        <x:v>Oct</x:v>
      </x:c>
      <x:c r="N6" s="8" t="str">
        <x:v>Nov</x:v>
      </x:c>
      <x:c r="O6" s="8" t="str">
        <x:v>Dec</x:v>
      </x:c>
      <x:c r="P6" s="8" t="str">
        <x:v>FY Total</x:v>
      </x:c>
    </x:row>
    <x:row r="7">
      <x:c r="B7" s="27" t="str">
        <x:v>Revenue</x:v>
      </x:c>
      <x:c r="C7" s="27" t="str">
        <x:v>Sales budget</x:v>
      </x:c>
      <x:c r="D7" s="40" t="n">
        <x:f>'05 Draft Sales Budget'!D23</x:f>
        <x:v>55500</x:v>
      </x:c>
      <x:c r="E7" s="40" t="n">
        <x:f>'05 Draft Sales Budget'!E23</x:f>
        <x:v>63000</x:v>
      </x:c>
      <x:c r="F7" s="40" t="n">
        <x:f>'05 Draft Sales Budget'!F23</x:f>
        <x:v>69500</x:v>
      </x:c>
      <x:c r="G7" s="40" t="n">
        <x:f>'05 Draft Sales Budget'!G23</x:f>
        <x:v>80500</x:v>
      </x:c>
      <x:c r="H7" s="40" t="n">
        <x:f>'05 Draft Sales Budget'!H23</x:f>
        <x:v>68000</x:v>
      </x:c>
      <x:c r="I7" s="40" t="n">
        <x:f>'05 Draft Sales Budget'!I23</x:f>
        <x:v>73500</x:v>
      </x:c>
      <x:c r="J7" s="40" t="n">
        <x:f>'05 Draft Sales Budget'!J23</x:f>
        <x:v>60000</x:v>
      </x:c>
      <x:c r="K7" s="40" t="n">
        <x:f>'05 Draft Sales Budget'!K23</x:f>
        <x:v>91500</x:v>
      </x:c>
      <x:c r="L7" s="40" t="n">
        <x:f>'05 Draft Sales Budget'!L23</x:f>
        <x:v>113500</x:v>
      </x:c>
      <x:c r="M7" s="40" t="n">
        <x:f>'05 Draft Sales Budget'!M23</x:f>
        <x:v>124000</x:v>
      </x:c>
      <x:c r="N7" s="40" t="n">
        <x:f>'05 Draft Sales Budget'!N23</x:f>
        <x:v>103500</x:v>
      </x:c>
      <x:c r="O7" s="40" t="n">
        <x:f>'05 Draft Sales Budget'!O23</x:f>
        <x:v>87000</x:v>
      </x:c>
      <x:c r="P7" s="40" t="n">
        <x:f>SUM(D7:O7)</x:f>
        <x:v>989500</x:v>
      </x:c>
    </x:row>
    <x:row r="8">
      <x:c r="B8" s="27" t="str">
        <x:v>Direct program costs</x:v>
      </x:c>
      <x:c r="C8" s="27" t="str">
        <x:v>Program plan</x:v>
      </x:c>
      <x:c r="D8" s="40" t="n">
        <x:f>-SUMIF('06 Draft Program Plan'!$C$7:$C$32,"Jan",'06 Draft Program Plan'!$R$7:$R$32)</x:f>
        <x:v>-4000</x:v>
      </x:c>
      <x:c r="E8" s="40" t="n">
        <x:f>-SUMIF('06 Draft Program Plan'!$C$7:$C$32,"Feb",'06 Draft Program Plan'!$R$7:$R$32)</x:f>
        <x:v>-5955</x:v>
      </x:c>
      <x:c r="F8" s="40" t="n">
        <x:f>-SUMIF('06 Draft Program Plan'!$C$7:$C$32,"Mar",'06 Draft Program Plan'!$R$7:$R$32)</x:f>
        <x:v>-6250</x:v>
      </x:c>
      <x:c r="G8" s="40" t="n">
        <x:f>-SUMIF('06 Draft Program Plan'!$C$7:$C$32,"Apr",'06 Draft Program Plan'!$R$7:$R$32)</x:f>
        <x:v>-6152.5</x:v>
      </x:c>
      <x:c r="H8" s="40" t="n">
        <x:f>-SUMIF('06 Draft Program Plan'!$C$7:$C$32,"May",'06 Draft Program Plan'!$R$7:$R$32)</x:f>
        <x:v>-4805</x:v>
      </x:c>
      <x:c r="I8" s="40" t="n">
        <x:f>-SUMIF('06 Draft Program Plan'!$C$7:$C$32,"Jun",'06 Draft Program Plan'!$R$7:$R$32)</x:f>
        <x:v>-8025</x:v>
      </x:c>
      <x:c r="J8" s="40" t="n">
        <x:f>-SUMIF('06 Draft Program Plan'!$C$7:$C$32,"Jul",'06 Draft Program Plan'!$R$7:$R$32)</x:f>
        <x:v>-1125</x:v>
      </x:c>
      <x:c r="K8" s="40" t="n">
        <x:f>-SUMIF('06 Draft Program Plan'!$C$7:$C$32,"Aug",'06 Draft Program Plan'!$R$7:$R$32)</x:f>
        <x:v>-4550</x:v>
      </x:c>
      <x:c r="L8" s="40" t="n">
        <x:f>-SUMIF('06 Draft Program Plan'!$C$7:$C$32,"Sep",'06 Draft Program Plan'!$R$7:$R$32)</x:f>
        <x:v>-13770</x:v>
      </x:c>
      <x:c r="M8" s="40" t="n">
        <x:f>-SUMIF('06 Draft Program Plan'!$C$7:$C$32,"Oct",'06 Draft Program Plan'!$R$7:$R$32)</x:f>
        <x:v>-8497.5</x:v>
      </x:c>
      <x:c r="N8" s="40" t="n">
        <x:f>-SUMIF('06 Draft Program Plan'!$C$7:$C$32,"Nov",'06 Draft Program Plan'!$R$7:$R$32)</x:f>
        <x:v>-10240</x:v>
      </x:c>
      <x:c r="O8" s="40" t="n">
        <x:f>-SUMIF('06 Draft Program Plan'!$C$7:$C$32,"Dec",'06 Draft Program Plan'!$R$7:$R$32)</x:f>
        <x:v>-3825</x:v>
      </x:c>
      <x:c r="P8" s="40" t="n">
        <x:f>SUM(D8:O8)</x:f>
        <x:v>-77195</x:v>
      </x:c>
    </x:row>
    <x:row r="9">
      <x:c r="B9" s="59" t="str">
        <x:v>Contribution</x:v>
      </x:c>
      <x:c r="C9" s="59" t="str"/>
      <x:c r="D9" s="60" t="n">
        <x:f>SUM(D7:D8)</x:f>
        <x:v>51500</x:v>
      </x:c>
      <x:c r="E9" s="60" t="n">
        <x:f>SUM(E7:E8)</x:f>
        <x:v>57045</x:v>
      </x:c>
      <x:c r="F9" s="60" t="n">
        <x:f>SUM(F7:F8)</x:f>
        <x:v>63250</x:v>
      </x:c>
      <x:c r="G9" s="60" t="n">
        <x:f>SUM(G7:G8)</x:f>
        <x:v>74347.5</x:v>
      </x:c>
      <x:c r="H9" s="60" t="n">
        <x:f>SUM(H7:H8)</x:f>
        <x:v>63195</x:v>
      </x:c>
      <x:c r="I9" s="60" t="n">
        <x:f>SUM(I7:I8)</x:f>
        <x:v>65475</x:v>
      </x:c>
      <x:c r="J9" s="60" t="n">
        <x:f>SUM(J7:J8)</x:f>
        <x:v>58875</x:v>
      </x:c>
      <x:c r="K9" s="60" t="n">
        <x:f>SUM(K7:K8)</x:f>
        <x:v>86950</x:v>
      </x:c>
      <x:c r="L9" s="60" t="n">
        <x:f>SUM(L7:L8)</x:f>
        <x:v>99730</x:v>
      </x:c>
      <x:c r="M9" s="60" t="n">
        <x:f>SUM(M7:M8)</x:f>
        <x:v>115502.5</x:v>
      </x:c>
      <x:c r="N9" s="60" t="n">
        <x:f>SUM(N7:N8)</x:f>
        <x:v>93260</x:v>
      </x:c>
      <x:c r="O9" s="60" t="n">
        <x:f>SUM(O7:O8)</x:f>
        <x:v>83175</x:v>
      </x:c>
      <x:c r="P9" s="60" t="n">
        <x:f>SUM(D9:O9)</x:f>
        <x:v>912305</x:v>
      </x:c>
    </x:row>
    <x:row r="10">
      <x:c r="B10" s="59" t="str">
        <x:v>Contribution margin</x:v>
      </x:c>
      <x:c r="C10" s="59" t="str"/>
      <x:c r="D10" s="61" t="n">
        <x:f>D9/D7</x:f>
        <x:v>0.9279279279279279</x:v>
      </x:c>
      <x:c r="E10" s="61" t="n">
        <x:f>E9/E7</x:f>
        <x:v>0.9054761904761904</x:v>
      </x:c>
      <x:c r="F10" s="61" t="n">
        <x:f>F9/F7</x:f>
        <x:v>0.9100719424460432</x:v>
      </x:c>
      <x:c r="G10" s="61" t="n">
        <x:f>G9/G7</x:f>
        <x:v>0.9235714285714286</x:v>
      </x:c>
      <x:c r="H10" s="61" t="n">
        <x:f>H9/H7</x:f>
        <x:v>0.9293382352941176</x:v>
      </x:c>
      <x:c r="I10" s="61" t="n">
        <x:f>I9/I7</x:f>
        <x:v>0.8908163265306123</x:v>
      </x:c>
      <x:c r="J10" s="61" t="n">
        <x:f>J9/J7</x:f>
        <x:v>0.98125</x:v>
      </x:c>
      <x:c r="K10" s="61" t="n">
        <x:f>K9/K7</x:f>
        <x:v>0.9502732240437158</x:v>
      </x:c>
      <x:c r="L10" s="61" t="n">
        <x:f>L9/L7</x:f>
        <x:v>0.8786784140969163</x:v>
      </x:c>
      <x:c r="M10" s="61" t="n">
        <x:f>M9/M7</x:f>
        <x:v>0.9314717741935484</x:v>
      </x:c>
      <x:c r="N10" s="61" t="n">
        <x:f>N9/N7</x:f>
        <x:v>0.9010628019323671</x:v>
      </x:c>
      <x:c r="O10" s="61" t="n">
        <x:f>O9/O7</x:f>
        <x:v>0.9560344827586207</x:v>
      </x:c>
      <x:c r="P10" s="61" t="n">
        <x:f>P9/P7</x:f>
        <x:v>0.9219858514401212</x:v>
      </x:c>
    </x:row>
    <x:row r="11">
      <x:c r="B11" s="27" t="str">
        <x:v>Operating expenses</x:v>
      </x:c>
      <x:c r="C11" s="27" t="str">
        <x:v>Expense budget</x:v>
      </x:c>
      <x:c r="D11" s="40" t="n">
        <x:f>-'07 Draft Operating Costs'!D21</x:f>
        <x:v>-24725</x:v>
      </x:c>
      <x:c r="E11" s="40" t="n">
        <x:f>-'07 Draft Operating Costs'!E21</x:f>
        <x:v>-24225</x:v>
      </x:c>
      <x:c r="F11" s="40" t="n">
        <x:f>-'07 Draft Operating Costs'!F21</x:f>
        <x:v>-24225</x:v>
      </x:c>
      <x:c r="G11" s="40" t="n">
        <x:f>-'07 Draft Operating Costs'!G21</x:f>
        <x:v>-25525</x:v>
      </x:c>
      <x:c r="H11" s="40" t="n">
        <x:f>-'07 Draft Operating Costs'!H21</x:f>
        <x:v>-23225</x:v>
      </x:c>
      <x:c r="I11" s="40" t="n">
        <x:f>-'07 Draft Operating Costs'!I21</x:f>
        <x:v>-22725</x:v>
      </x:c>
      <x:c r="J11" s="40" t="n">
        <x:f>-'07 Draft Operating Costs'!J21</x:f>
        <x:v>-21225</x:v>
      </x:c>
      <x:c r="K11" s="40" t="n">
        <x:f>-'07 Draft Operating Costs'!K21</x:f>
        <x:v>-22225</x:v>
      </x:c>
      <x:c r="L11" s="40" t="n">
        <x:f>-'07 Draft Operating Costs'!L21</x:f>
        <x:v>-24725</x:v>
      </x:c>
      <x:c r="M11" s="40" t="n">
        <x:f>-'07 Draft Operating Costs'!M21</x:f>
        <x:v>-25225</x:v>
      </x:c>
      <x:c r="N11" s="40" t="n">
        <x:f>-'07 Draft Operating Costs'!N21</x:f>
        <x:v>-24225</x:v>
      </x:c>
      <x:c r="O11" s="40" t="n">
        <x:f>-'07 Draft Operating Costs'!O21</x:f>
        <x:v>-22725</x:v>
      </x:c>
      <x:c r="P11" s="40" t="n">
        <x:f>SUM(D11:O11)</x:f>
        <x:v>-285000</x:v>
      </x:c>
    </x:row>
    <x:row r="12">
      <x:c r="B12" s="62" t="str">
        <x:v>Operating profit</x:v>
      </x:c>
      <x:c r="C12" s="62" t="str"/>
      <x:c r="D12" s="63" t="n">
        <x:f>SUM(D9,D11)</x:f>
        <x:v>26775</x:v>
      </x:c>
      <x:c r="E12" s="63" t="n">
        <x:f>SUM(E9,E11)</x:f>
        <x:v>32820</x:v>
      </x:c>
      <x:c r="F12" s="63" t="n">
        <x:f>SUM(F9,F11)</x:f>
        <x:v>39025</x:v>
      </x:c>
      <x:c r="G12" s="63" t="n">
        <x:f>SUM(G9,G11)</x:f>
        <x:v>48822.5</x:v>
      </x:c>
      <x:c r="H12" s="63" t="n">
        <x:f>SUM(H9,H11)</x:f>
        <x:v>39970</x:v>
      </x:c>
      <x:c r="I12" s="63" t="n">
        <x:f>SUM(I9,I11)</x:f>
        <x:v>42750</x:v>
      </x:c>
      <x:c r="J12" s="63" t="n">
        <x:f>SUM(J9,J11)</x:f>
        <x:v>37650</x:v>
      </x:c>
      <x:c r="K12" s="63" t="n">
        <x:f>SUM(K9,K11)</x:f>
        <x:v>64725</x:v>
      </x:c>
      <x:c r="L12" s="63" t="n">
        <x:f>SUM(L9,L11)</x:f>
        <x:v>75005</x:v>
      </x:c>
      <x:c r="M12" s="63" t="n">
        <x:f>SUM(M9,M11)</x:f>
        <x:v>90277.5</x:v>
      </x:c>
      <x:c r="N12" s="63" t="n">
        <x:f>SUM(N9,N11)</x:f>
        <x:v>69035</x:v>
      </x:c>
      <x:c r="O12" s="63" t="n">
        <x:f>SUM(O9,O11)</x:f>
        <x:v>60450</x:v>
      </x:c>
      <x:c r="P12" s="63" t="n">
        <x:f>SUM(D12:O12)</x:f>
        <x:v>627305</x:v>
      </x:c>
    </x:row>
    <x:row r="13">
      <x:c r="B13" s="62" t="str">
        <x:v>Operating margin</x:v>
      </x:c>
      <x:c r="C13" s="62" t="str"/>
      <x:c r="D13" s="64" t="n">
        <x:f>D12/D7</x:f>
        <x:v>0.48243243243243245</x:v>
      </x:c>
      <x:c r="E13" s="64" t="n">
        <x:f>E12/E7</x:f>
        <x:v>0.520952380952381</x:v>
      </x:c>
      <x:c r="F13" s="64" t="n">
        <x:f>F12/F7</x:f>
        <x:v>0.5615107913669065</x:v>
      </x:c>
      <x:c r="G13" s="64" t="n">
        <x:f>G12/G7</x:f>
        <x:v>0.6064906832298137</x:v>
      </x:c>
      <x:c r="H13" s="64" t="n">
        <x:f>H12/H7</x:f>
        <x:v>0.5877941176470588</x:v>
      </x:c>
      <x:c r="I13" s="64" t="n">
        <x:f>I12/I7</x:f>
        <x:v>0.5816326530612245</x:v>
      </x:c>
      <x:c r="J13" s="64" t="n">
        <x:f>J12/J7</x:f>
        <x:v>0.6275</x:v>
      </x:c>
      <x:c r="K13" s="64" t="n">
        <x:f>K12/K7</x:f>
        <x:v>0.7073770491803278</x:v>
      </x:c>
      <x:c r="L13" s="64" t="n">
        <x:f>L12/L7</x:f>
        <x:v>0.6608370044052864</x:v>
      </x:c>
      <x:c r="M13" s="64" t="n">
        <x:f>M12/M7</x:f>
        <x:v>0.7280443548387097</x:v>
      </x:c>
      <x:c r="N13" s="64" t="n">
        <x:f>N12/N7</x:f>
        <x:v>0.6670048309178744</x:v>
      </x:c>
      <x:c r="O13" s="64" t="n">
        <x:f>O12/O7</x:f>
        <x:v>0.6948275862068966</x:v>
      </x:c>
      <x:c r="P13" s="64" t="n">
        <x:f>P12/P7</x:f>
        <x:v>0.6339615967660435</x:v>
      </x:c>
    </x:row>
    <x:row r="14">
      <x:c r="B14" s="62" t="str">
        <x:v>Prior-year operating profit</x:v>
      </x:c>
      <x:c r="C14" s="62" t="str">
        <x:v>Historical</x:v>
      </x:c>
      <x:c r="D14" s="63" t="n">
        <x:f>'01 Prior Year P&amp;L'!D15</x:f>
        <x:v>-1350</x:v>
      </x:c>
      <x:c r="E14" s="63" t="n">
        <x:f>'01 Prior Year P&amp;L'!E15</x:f>
        <x:v>2745</x:v>
      </x:c>
      <x:c r="F14" s="63" t="n">
        <x:f>'01 Prior Year P&amp;L'!F15</x:f>
        <x:v>-795</x:v>
      </x:c>
      <x:c r="G14" s="63" t="n">
        <x:f>'01 Prior Year P&amp;L'!G15</x:f>
        <x:v>8280</x:v>
      </x:c>
      <x:c r="H14" s="63" t="n">
        <x:f>'01 Prior Year P&amp;L'!H15</x:f>
        <x:v>-1680</x:v>
      </x:c>
      <x:c r="I14" s="63" t="n">
        <x:f>'01 Prior Year P&amp;L'!I15</x:f>
        <x:v>-8650</x:v>
      </x:c>
      <x:c r="J14" s="63" t="n">
        <x:f>'01 Prior Year P&amp;L'!J15</x:f>
        <x:v>-16000</x:v>
      </x:c>
      <x:c r="K14" s="63" t="n">
        <x:f>'01 Prior Year P&amp;L'!K15</x:f>
        <x:v>-6410</x:v>
      </x:c>
      <x:c r="L14" s="63" t="n">
        <x:f>'01 Prior Year P&amp;L'!L15</x:f>
        <x:v>7355</x:v>
      </x:c>
      <x:c r="M14" s="63" t="n">
        <x:f>'01 Prior Year P&amp;L'!M15</x:f>
        <x:v>9250</x:v>
      </x:c>
      <x:c r="N14" s="63" t="n">
        <x:f>'01 Prior Year P&amp;L'!N15</x:f>
        <x:v>-4950</x:v>
      </x:c>
      <x:c r="O14" s="63" t="n">
        <x:f>'01 Prior Year P&amp;L'!O15</x:f>
        <x:v>-3450</x:v>
      </x:c>
      <x:c r="P14" s="63" t="n">
        <x:f>SUM(D14:O14)</x:f>
        <x:v>-15655</x:v>
      </x:c>
    </x:row>
    <x:row r="15">
      <x:c r="B15" s="62" t="str">
        <x:v>Change in operating profit</x:v>
      </x:c>
      <x:c r="C15" s="62" t="str">
        <x:v>EUR versus prior year</x:v>
      </x:c>
      <x:c r="D15" s="63" t="n">
        <x:f>D12-D14</x:f>
        <x:v>28125</x:v>
      </x:c>
      <x:c r="E15" s="63" t="n">
        <x:f>E12-E14</x:f>
        <x:v>30075</x:v>
      </x:c>
      <x:c r="F15" s="63" t="n">
        <x:f>F12-F14</x:f>
        <x:v>39820</x:v>
      </x:c>
      <x:c r="G15" s="63" t="n">
        <x:f>G12-G14</x:f>
        <x:v>40542.5</x:v>
      </x:c>
      <x:c r="H15" s="63" t="n">
        <x:f>H12-H14</x:f>
        <x:v>41650</x:v>
      </x:c>
      <x:c r="I15" s="63" t="n">
        <x:f>I12-I14</x:f>
        <x:v>51400</x:v>
      </x:c>
      <x:c r="J15" s="63" t="n">
        <x:f>J12-J14</x:f>
        <x:v>53650</x:v>
      </x:c>
      <x:c r="K15" s="63" t="n">
        <x:f>K12-K14</x:f>
        <x:v>71135</x:v>
      </x:c>
      <x:c r="L15" s="63" t="n">
        <x:f>L12-L14</x:f>
        <x:v>67650</x:v>
      </x:c>
      <x:c r="M15" s="63" t="n">
        <x:f>M12-M14</x:f>
        <x:v>81027.5</x:v>
      </x:c>
      <x:c r="N15" s="63" t="n">
        <x:f>N12-N14</x:f>
        <x:v>73985</x:v>
      </x:c>
      <x:c r="O15" s="63" t="n">
        <x:f>O12-O14</x:f>
        <x:v>63900</x:v>
      </x:c>
      <x:c r="P15" s="63" t="n">
        <x:f>P12-P14</x:f>
        <x:v>642960</x:v>
      </x:c>
    </x:row>
  </x:sheetData>
  <x:pageMargins left="0.7" right="0.7" top="0.75" bottom="0.75" header="0.3" footer="0.3"/>
</x:worksheet>
</file>

<file path=xl/worksheets/sheet10.xml><?xml version="1.0" encoding="utf-8"?>
<x:worksheet xmlns:x="http://schemas.openxmlformats.org/spreadsheetml/2006/main">
  <x:sheetPr>
    <x:tabColor rgb="FF4B7184"/>
  </x:sheetPr>
  <x:sheetViews>
    <x:sheetView showGridLines="0" workbookViewId="0">
      <x:pane xSplit="2" ySplit="6" topLeftCell="C7" activePane="bottomRight" state="frozen"/>
    </x:sheetView>
  </x:sheetViews>
  <x:sheetFormatPr defaultRowHeight="15"/>
  <x:cols>
    <x:col min="1" max="1" width="2" hidden="0" customWidth="1"/>
    <x:col min="2" max="2" width="6" hidden="0" customWidth="1"/>
    <x:col min="3" max="3" width="30" hidden="0" customWidth="1"/>
    <x:col min="4" max="4" width="17" hidden="0" customWidth="1"/>
    <x:col min="5" max="5" width="44" hidden="0" customWidth="1"/>
    <x:col min="6" max="6" width="42" hidden="0" customWidth="1"/>
    <x:col min="7" max="7" width="38" hidden="0" customWidth="1"/>
    <x:col min="8" max="8" width="22" hidden="0" customWidth="1"/>
    <x:col min="9" max="9" width="56" hidden="0" customWidth="1"/>
  </x:cols>
  <x:sheetData>
    <x:row r="2">
      <x:c r="B2" s="24" t="str">
        <x:v>Assumption Review</x:v>
      </x:c>
      <x:c r="C2" s="25"/>
      <x:c r="D2" s="25"/>
      <x:c r="E2" s="25"/>
      <x:c r="F2" s="25"/>
      <x:c r="G2" s="25"/>
      <x:c r="H2" s="25"/>
      <x:c r="I2" s="25"/>
    </x:row>
    <x:row r="3">
      <x:c r="B3" s="26" t="str">
        <x:v>Distinguish Part 1 corrections from Part 2 decisions. Cite evidence; state any assumptions you must make.</x:v>
      </x:c>
      <x:c r="C3" s="26"/>
      <x:c r="D3" s="26"/>
      <x:c r="E3" s="26"/>
      <x:c r="F3" s="26"/>
      <x:c r="G3" s="26"/>
      <x:c r="H3" s="26"/>
      <x:c r="I3" s="26"/>
    </x:row>
    <x:row r="4">
      <x:c r="B4" s="27"/>
      <x:c r="C4" s="27"/>
      <x:c r="D4" s="27"/>
      <x:c r="E4" s="27"/>
      <x:c r="F4" s="27"/>
      <x:c r="G4" s="27"/>
      <x:c r="H4" s="27"/>
      <x:c r="I4" s="27"/>
    </x:row>
    <x:row r="5">
      <x:c r="B5" s="27"/>
      <x:c r="C5" s="27"/>
      <x:c r="D5" s="27"/>
      <x:c r="E5" s="27"/>
      <x:c r="F5" s="27"/>
      <x:c r="G5" s="27"/>
      <x:c r="H5" s="27"/>
      <x:c r="I5" s="27"/>
    </x:row>
    <x:row r="6" ht="45" customHeight="1">
      <x:c r="B6" s="202" t="str">
        <x:v>No.</x:v>
      </x:c>
      <x:c r="C6" s="202" t="str">
        <x:v>Assumption</x:v>
      </x:c>
      <x:c r="D6" s="202" t="str">
        <x:v>Owner</x:v>
      </x:c>
      <x:c r="E6" s="202" t="str">
        <x:v>Evidence or source</x:v>
      </x:c>
      <x:c r="F6" s="202" t="str">
        <x:v>Conflict found</x:v>
      </x:c>
      <x:c r="G6" s="202" t="str">
        <x:v>Financial effect</x:v>
      </x:c>
      <x:c r="H6" s="202" t="str">
        <x:v>Correction or decision</x:v>
      </x:c>
      <x:c r="I6" s="202" t="str">
        <x:v>Correction / action and timing</x:v>
      </x:c>
    </x:row>
    <x:row r="7" ht="112" customHeight="1">
      <x:c r="B7" s="254" t="n">
        <x:v>1</x:v>
      </x:c>
      <x:c r="C7" s="256" t="str">
        <x:v>Anna leaves after February</x:v>
      </x:c>
      <x:c r="D7" s="254" t="str">
        <x:v>HR / Sales</x:v>
      </x:c>
      <x:c r="E7" s="254" t="str">
        <x:v>06 HR Table 1 Anna row; P7. 05 sales F7:O9.</x:v>
      </x:c>
      <x:c r="F7" s="254" t="str">
        <x:v>Targets keep Anna selling after accepted resignation. No contractor agreement exists.</x:v>
      </x:c>
      <x:c r="G7" s="254" t="str">
        <x:v>Employee production stops after Feb. Source company calendar retention is a separate disclosed assumption.</x:v>
      </x:c>
      <x:c r="H7" s="254" t="str">
        <x:v>Part 1 correction</x:v>
      </x:c>
      <x:c r="I7" s="254" t="str">
        <x:v>Do not retain Anna salary or use a contractor in Part 1. Draft Anna Mar–Dec targets total EUR 201,000.</x:v>
      </x:c>
    </x:row>
    <x:row r="8" ht="112" customHeight="1">
      <x:c r="B8" s="254" t="n">
        <x:v>2</x:v>
      </x:c>
      <x:c r="C8" s="256" t="str">
        <x:v>Company client handover</x:v>
      </x:c>
      <x:c r="D8" s="254" t="str">
        <x:v>Sales</x:v>
      </x:c>
      <x:c r="E8" s="254" t="str">
        <x:v>06 HR Table 1; 03 Sales P5. 06 events P05/P09/P16/P22.</x:v>
      </x:c>
      <x:c r="F8" s="254" t="str">
        <x:v>Client retention is uncertain; a source owner is not proof of employment or a signed contract.</x:v>
      </x:c>
      <x:c r="G8" s="254" t="str">
        <x:v>EUR 27,900 source-calendar company deliveries retained post-Feb, within portfolio envelope.</x:v>
      </x:c>
      <x:c r="H8" s="254" t="str">
        <x:v>Part 1 assumption</x:v>
      </x:c>
      <x:c r="I8" s="254" t="str">
        <x:v>Assume ordinary handover retains these company events. Confirm each client and date. No added seller or employment agreement.</x:v>
      </x:c>
    </x:row>
    <x:row r="9" ht="112" customHeight="1">
      <x:c r="B9" s="254" t="n">
        <x:v>3</x:v>
      </x:c>
      <x:c r="C9" s="256" t="str">
        <x:v>Ella employment and ramp</x:v>
      </x:c>
      <x:c r="D9" s="254" t="str">
        <x:v>HR / Sales</x:v>
      </x:c>
      <x:c r="E9" s="254" t="str">
        <x:v>06 HR Table 1 Ella row; P7. 03 Sales P9.</x:v>
      </x:c>
      <x:c r="F9" s="254" t="str">
        <x:v>Starts 1 May. May onboarding, Jun supervised, Jul partial. Immediate full contribution is unsupported.</x:v>
      </x:c>
      <x:c r="G9" s="254" t="str">
        <x:v>Former Anna seasonal corporate benchmark, 25% Jun, 50% Jul, 100% Aug onward.</x:v>
      </x:c>
      <x:c r="H9" s="254" t="str">
        <x:v>Part 1 assumption</x:v>
      </x:c>
      <x:c r="I9" s="254" t="str">
        <x:v>No pre-May meetings or May sales. August full productivity is an optimistic earliest permitted date, not achieved fact.</x:v>
      </x:c>
    </x:row>
    <x:row r="10" ht="112" customHeight="1">
      <x:c r="B10" s="254" t="n">
        <x:v>4</x:v>
      </x:c>
      <x:c r="C10" s="256" t="str">
        <x:v>Continuing employee throughput</x:v>
      </x:c>
      <x:c r="D10" s="254" t="str">
        <x:v>Sales</x:v>
      </x:c>
      <x:c r="E10" s="254" t="str">
        <x:v>02 Prior Year Sales D10:O11, D13:O14, D16:O17. 06 HR Peter row.</x:v>
      </x:c>
      <x:c r="F10" s="254" t="str">
        <x:v>Targets assume substantial productivity increases. Peter coaching has no measured uplift.</x:v>
      </x:c>
      <x:c r="G10" s="254" t="str">
        <x:v>EUR 280,000 historical corporate baseline for Mark, Linda and Peter.</x:v>
      </x:c>
      <x:c r="H10" s="254" t="str">
        <x:v>Part 1 assumption</x:v>
      </x:c>
      <x:c r="I10" s="254" t="str">
        <x:v>Maintain existing calls, coaching and activity; exclude untested conversion improvement from the forecast.</x:v>
      </x:c>
    </x:row>
    <x:row r="11" ht="112" customHeight="1">
      <x:c r="B11" s="254" t="n">
        <x:v>5</x:v>
      </x:c>
      <x:c r="C11" s="256" t="str">
        <x:v>Former portfolio not duplicated</x:v>
      </x:c>
      <x:c r="D11" s="254" t="str">
        <x:v>Sales</x:v>
      </x:c>
      <x:c r="E11" s="254" t="str">
        <x:v>02 Prior Year Sales D7:O8. 06 corporate calendar owners Anna/Ella.</x:v>
      </x:c>
      <x:c r="F11" s="254" t="str">
        <x:v>Adding historical portfolio and named programs would count the same business twice.</x:v>
      </x:c>
      <x:c r="G11" s="254" t="str">
        <x:v>EUR 98,850 non-duplicated portfolio envelope. Corporate forecast EUR 378,850.</x:v>
      </x:c>
      <x:c r="H11" s="254" t="str">
        <x:v>Part 1 correction</x:v>
      </x:c>
      <x:c r="I11" s="254" t="str">
        <x:v>Jan/Feb MAX(history, calendar). Mar–May calendar. Jun onward MAX(ramped history, combined Anna/Ella calendar).</x:v>
      </x:c>
    </x:row>
    <x:row r="12" ht="112" customHeight="1">
      <x:c r="B12" s="254" t="n">
        <x:v>6</x:v>
      </x:c>
      <x:c r="C12" s="256" t="str">
        <x:v>Sales cycle and delivery month</x:v>
      </x:c>
      <x:c r="D12" s="254" t="str">
        <x:v>Sales</x:v>
      </x:c>
      <x:c r="E12" s="254" t="str">
        <x:v>03 Sales P11/P12. 05 Operations P7.</x:v>
      </x:c>
      <x:c r="F12" s="254" t="str">
        <x:v>Revenue is a delivered-month forecast, not current enquiries or signed contracts.</x:v>
      </x:c>
      <x:c r="G12" s="254" t="str">
        <x:v>Residual corporate EUR 262,450 beyond EUR 116,400 source corporate calendar.</x:v>
      </x:c>
      <x:c r="H12" s="254" t="str">
        <x:v>Part 1 assumption</x:v>
      </x:c>
      <x:c r="I12" s="254" t="str">
        <x:v>Existing expansion intent permits extra corporate programs. Identify client, date, length and costs 6–8 weeks before delivery.</x:v>
      </x:c>
    </x:row>
    <x:row r="13" ht="112" customHeight="1">
      <x:c r="B13" s="254" t="n">
        <x:v>7</x:v>
      </x:c>
      <x:c r="C13" s="256" t="str">
        <x:v>Calendar is not a sales ceiling</x:v>
      </x:c>
      <x:c r="D13" s="254" t="str">
        <x:v>Sales / Delivery</x:v>
      </x:c>
      <x:c r="E13" s="254" t="str">
        <x:v>01 Background P4. 05 Operations P3/P7. 06 J34.</x:v>
      </x:c>
      <x:c r="F13" s="254" t="str">
        <x:v>26 events include unspecified confirmation status and only part of hoped sales.</x:v>
      </x:c>
      <x:c r="G13" s="254" t="str">
        <x:v>Retain all 26 current planned events as expected-delivery assumptions. Expense residual corporate throughput separately.</x:v>
      </x:c>
      <x:c r="H13" s="254" t="str">
        <x:v>Part 1 correction</x:v>
      </x:c>
      <x:c r="I13" s="254" t="str">
        <x:v>Do not cap all corporate sales at calendar revenue, or add calendar to a forecast already containing it.</x:v>
      </x:c>
    </x:row>
    <x:row r="14" ht="112" customHeight="1">
      <x:c r="B14" s="254" t="n">
        <x:v>8</x:v>
      </x:c>
      <x:c r="C14" s="256" t="str">
        <x:v>Marketing activity unchanged</x:v>
      </x:c>
      <x:c r="D14" s="254" t="str">
        <x:v>Marketing</x:v>
      </x:c>
      <x:c r="E14" s="254" t="str">
        <x:v>04 Marketing P3/P7/P8 and Table 1. 07 D11:O11.</x:v>
      </x:c>
      <x:c r="F14" s="254" t="str">
        <x:v>Lower appropriation and untested creative cannot imply arbitrary lead-conversion uplift.</x:v>
      </x:c>
      <x:c r="G14" s="254" t="str">
        <x:v>Existing marketing remains EUR 52,500; no rescue campaigns in Part 1.</x:v>
      </x:c>
      <x:c r="H14" s="254" t="str">
        <x:v>Part 1 assumption</x:v>
      </x:c>
      <x:c r="I14" s="254" t="str">
        <x:v>Generated enquiries scale 2025 monthly enquiries by same-month 2026/2025 spend ratio. Referral/database effects remain uncertain.</x:v>
      </x:c>
    </x:row>
    <x:row r="15" ht="112" customHeight="1">
      <x:c r="B15" s="254" t="n">
        <x:v>9</x:v>
      </x:c>
      <x:c r="C15" s="256" t="str">
        <x:v>Lagged open demand</x:v>
      </x:c>
      <x:c r="D15" s="254" t="str">
        <x:v>Marketing / Sales</x:v>
      </x:c>
      <x:c r="E15" s="254" t="str">
        <x:v>03 Prior Year Marketing P11/P12 and O11. 03 Sales P11.</x:v>
      </x:c>
      <x:c r="F15" s="254" t="str">
        <x:v>Open seats convert near the event; catalogue prices must match the chosen program.</x:v>
      </x:c>
      <x:c r="G15" s="254" t="str">
        <x:v>Pooled conversion 198/817. One-month lag, integer seats rounded down.</x:v>
      </x:c>
      <x:c r="H15" s="254" t="str">
        <x:v>Part 1 assumption</x:v>
      </x:c>
      <x:c r="I15" s="254" t="str">
        <x:v>Jan uses 2025 Dec 60 enquiries. Seven current open dates limit Part 1 seats to 90 and revenue to EUR 35,700.</x:v>
      </x:c>
    </x:row>
    <x:row r="16" ht="112" customHeight="1">
      <x:c r="B16" s="254" t="n">
        <x:v>10</x:v>
      </x:c>
      <x:c r="C16" s="256" t="str">
        <x:v>Historical open data inconsistency</x:v>
      </x:c>
      <x:c r="D16" s="254" t="str">
        <x:v>Marketing</x:v>
      </x:c>
      <x:c r="E16" s="254" t="str">
        <x:v>02 G9/G12/G15/G18, J9/J12/J15/J18. 04 G12/J9/J12.</x:v>
      </x:c>
      <x:c r="F16" s="254" t="str">
        <x:v>April and July imply prices above EUR 600; July seats exist despite zero delivered events.</x:v>
      </x:c>
      <x:c r="G16" s="254" t="str">
        <x:v>Avoid unsupported EUR 613.64/625 implied prices and do not use target seats as proven demand.</x:v>
      </x:c>
      <x:c r="H16" s="254" t="str">
        <x:v>Part 1 correction</x:v>
      </x:c>
      <x:c r="I16" s="254" t="str">
        <x:v>Use pooled funnel as an imperfect control, actual catalogue prices and current event capacity. Clarify historical definitions.</x:v>
      </x:c>
    </x:row>
    <x:row r="17" ht="112" customHeight="1">
      <x:c r="B17" s="254" t="n">
        <x:v>11</x:v>
      </x:c>
      <x:c r="C17" s="256" t="str">
        <x:v>Open room and commitments</x:v>
      </x:c>
      <x:c r="D17" s="254" t="str">
        <x:v>Delivery</x:v>
      </x:c>
      <x:c r="E17" s="254" t="str">
        <x:v>05 Operations Table 1. 06 open rows 8/12/16/21/24/27/30.</x:v>
      </x:c>
      <x:c r="F17" s="254" t="str">
        <x:v>Current planned 136 seats exceed demand in several months. A room holds 20 paid participants.</x:v>
      </x:c>
      <x:c r="G17" s="254" t="str">
        <x:v>Expected attendance 90. Venue and lead costs remain for all seven existing dates.</x:v>
      </x:c>
      <x:c r="H17" s="254" t="str">
        <x:v>Part 1 correction</x:v>
      </x:c>
      <x:c r="I17" s="254" t="str">
        <x:v>MIN(planned participants, demand, 20) per current event. Do not cancel or add dates in Part 1.</x:v>
      </x:c>
    </x:row>
    <x:row r="18" ht="112" customHeight="1">
      <x:c r="B18" s="254" t="n">
        <x:v>12</x:v>
      </x:c>
      <x:c r="C18" s="256" t="str">
        <x:v>Residual corporate unit economics</x:v>
      </x:c>
      <x:c r="D18" s="254" t="str">
        <x:v>Delivery / Finance</x:v>
      </x:c>
      <x:c r="E18" s="254" t="str">
        <x:v>01 Background Table 1. 06 P7:P32/Q7:Q32 and O7:O32/G7:G32.</x:v>
      </x:c>
      <x:c r="F18" s="254" t="str">
        <x:v>Draft costs cover only the program calendar while sales target covers all products.</x:v>
      </x:c>
      <x:c r="G18" s="254" t="str">
        <x:v>Residual expected 1.5-day, 20-person standard programs. Travel proxy EUR 232.8125/day.</x:v>
      </x:c>
      <x:c r="H18" s="254" t="str">
        <x:v>Part 1 correction</x:v>
      </x:c>
      <x:c r="I18" s="254" t="str">
        <x:v>Price EUR 2,500/day, materials EUR 15/person/day, 5% commission, lead fee and current-register travel. Fractional expected volumes are not actual bookings.</x:v>
      </x:c>
    </x:row>
    <x:row r="19" ht="112" customHeight="1">
      <x:c r="B19" s="254" t="n">
        <x:v>13</x:v>
      </x:c>
      <x:c r="C19" s="256" t="str">
        <x:v>Instructor fee and conservative leads</x:v>
      </x:c>
      <x:c r="D19" s="254" t="str">
        <x:v>Finance / Delivery</x:v>
      </x:c>
      <x:c r="E19" s="254" t="str">
        <x:v>07 Finance P5. 05 Operations P8/Table 1.</x:v>
      </x:c>
      <x:c r="F19" s="254" t="str">
        <x:v>EUR 700 planning fee increases 10% from July. Part 1 cannot assume internal savings already achieved.</x:v>
      </x:c>
      <x:c r="G19" s="254" t="str">
        <x:v>External rate EUR 700 Jan–Jun, EUR 770 Jul–Dec on all lead days.</x:v>
      </x:c>
      <x:c r="H19" s="254" t="str">
        <x:v>Part 1 correction</x:v>
      </x:c>
      <x:c r="I19" s="254" t="str">
        <x:v>Keep source conservative external-lead simplification. Jan 15.8 and Feb 14 base days depend on opening arrangements.</x:v>
      </x:c>
    </x:row>
    <x:row r="20" ht="112" customHeight="1">
      <x:c r="B20" s="254" t="n">
        <x:v>14</x:v>
      </x:c>
      <x:c r="C20" s="256" t="str">
        <x:v>Assistant staffing and concurrency</x:v>
      </x:c>
      <x:c r="D20" s="254" t="str">
        <x:v>Delivery</x:v>
      </x:c>
      <x:c r="E20" s="254" t="str">
        <x:v>01 Background Table 1; 05 Operations Table 1. 06 P16.</x:v>
      </x:c>
      <x:c r="F20" s="254" t="str">
        <x:v>One regular assistant cannot act as multiple people at a large event.</x:v>
      </x:c>
      <x:c r="G20" s="254" t="str">
        <x:v>19 assistant person-days priced. Extra bookings Apr 1, Jun 2, Sep 4, Nov 2 days.</x:v>
      </x:c>
      <x:c r="H20" s="254" t="str">
        <x:v>Part 1 correction</x:v>
      </x:c>
      <x:c r="I20" s="254" t="str">
        <x:v>Sep requires two additional people for two days. Fees already included at one quarter of instructor fee; do not charge them twice.</x:v>
      </x:c>
    </x:row>
    <x:row r="21" ht="112" customHeight="1">
      <x:c r="B21" s="254" t="n">
        <x:v>15</x:v>
      </x:c>
      <x:c r="C21" s="256" t="str">
        <x:v>Payroll follows actual staff dates</x:v>
      </x:c>
      <x:c r="D21" s="254" t="str">
        <x:v>HR / Finance</x:v>
      </x:c>
      <x:c r="E21" s="254" t="str">
        <x:v>06 HR P6/Table 1. 07 rows 7:10.</x:v>
      </x:c>
      <x:c r="F21" s="254" t="str">
        <x:v>Four salaries were held flat despite Anna leaving before Ella starts.</x:v>
      </x:c>
      <x:c r="G21" s="254" t="str">
        <x:v>Paid headcount 4/4/3/3/4 onward. Loaded payroll EUR 171,000.</x:v>
      </x:c>
      <x:c r="H21" s="254" t="str">
        <x:v>Part 1 correction</x:v>
      </x:c>
      <x:c r="I21" s="254" t="str">
        <x:v>Fixed salary EUR 1,800 per person, delivery/admin EUR 4,500/month and case 25% fixed-salary employer burden.</x:v>
      </x:c>
    </x:row>
    <x:row r="22" ht="112" customHeight="1">
      <x:c r="B22" s="254" t="n">
        <x:v>16</x:v>
      </x:c>
      <x:c r="C22" s="256" t="str">
        <x:v>Insurance and studio accounting</x:v>
      </x:c>
      <x:c r="D22" s="254" t="str">
        <x:v>Finance</x:v>
      </x:c>
      <x:c r="E22" s="254" t="str">
        <x:v>07 Finance P6/P7/P8; 07 costs row 15/17/18.</x:v>
      </x:c>
      <x:c r="F22" s="254" t="str">
        <x:v>April insurance payment is not assumed all April expense. Fit-out purchase is not P&amp;L expense.</x:v>
      </x:c>
      <x:c r="G22" s="254" t="str">
        <x:v>Insurance EUR 150/month. Additional depreciation EUR 416.67 May–Dec. Interest remains included.</x:v>
      </x:c>
      <x:c r="H22" s="254" t="str">
        <x:v>Part 1 assumption</x:v>
      </x:c>
      <x:c r="I22" s="254" t="str">
        <x:v>Assume insurance covers Jan–Dec. Capitalise EUR 25,000; depreciate over 60 months from May. Keep all other base overheads.</x:v>
      </x:c>
    </x:row>
    <x:row r="23" ht="112" customHeight="1">
      <x:c r="B23" s="254" t="n">
        <x:v>17</x:v>
      </x:c>
      <x:c r="C23" s="256" t="str">
        <x:v>D1 proposed Anna contract</x:v>
      </x:c>
      <x:c r="D23" s="254" t="str">
        <x:v>Management / Sales</x:v>
      </x:c>
      <x:c r="E23" s="254" t="str">
        <x:v>06 HR P7. 03 Sales P5/P11. 02 Anna corporate history and Part 1 envelope.</x:v>
      </x:c>
      <x:c r="F23" s="254" t="str">
        <x:v>No contractor deal exists. Full portfolio recovery would duplicate Ella and retained events.</x:v>
      </x:c>
      <x:c r="G23" s="254" t="str">
        <x:v>40% of unbudgeted book adds EUR 15,500. Extra 5% fee EUR 2,170, total contractor fee EUR 4,340.</x:v>
      </x:c>
      <x:c r="H23" s="254" t="str">
        <x:v>Part 2 decision</x:v>
      </x:c>
      <x:c r="I23" s="254" t="str">
        <x:v>Negotiate Jan/Feb, effective Mar–Dec. March requires prior qualified renewal contact. Stop or defer if unsigned; budget total commission 10%, not 15%.</x:v>
      </x:c>
    </x:row>
    <x:row r="24" ht="112" customHeight="1">
      <x:c r="B24" s="254" t="n">
        <x:v>18</x:v>
      </x:c>
      <x:c r="C24" s="256" t="str">
        <x:v>D2 premium open calendar</x:v>
      </x:c>
      <x:c r="D24" s="254" t="str">
        <x:v>Management / Marketing</x:v>
      </x:c>
      <x:c r="E24" s="254" t="str">
        <x:v>01 Background Table 2; 05 Operations Table 1; unserved Part 1 demand.</x:v>
      </x:c>
      <x:c r="F24" s="254" t="str">
        <x:v>Generic enquiries do not prove willingness to pay EUR 600 or confirm instructors.</x:v>
      </x:c>
      <x:c r="G24" s="254" t="str">
        <x:v>Four new 2-day events, 55 seats, EUR 33,000 revenue, EUR 1,000 Jan setup.</x:v>
      </x:c>
      <x:c r="H24" s="254" t="str">
        <x:v>Part 2 decision</x:v>
      </x:c>
      <x:c r="I24" s="254" t="str">
        <x:v>Linda owns segmentation and promotion. Proposed Feb 27–28, Apr 23–24, Jun 18–19, Dec 10–11. Confirm lead times, venue and minimum 8 prepaid seats.</x:v>
      </x:c>
    </x:row>
    <x:row r="25" ht="112" customHeight="1">
      <x:c r="B25" s="254" t="n">
        <x:v>19</x:v>
      </x:c>
      <x:c r="C25" s="256" t="str">
        <x:v>D3 internal senior substitution</x:v>
      </x:c>
      <x:c r="D25" s="254" t="str">
        <x:v>Management / Delivery</x:v>
      </x:c>
      <x:c r="E25" s="254" t="str">
        <x:v>05 Operations Table 1/P8; 06 HR P6. Internal compensation is a management estimate.</x:v>
      </x:c>
      <x:c r="F25" s="254" t="str">
        <x:v>Internal salary coverage and course competence are unverified. Preparatory capacity must be retained.</x:v>
      </x:c>
      <x:c r="G25" s="254" t="str">
        <x:v>EUR 1,000 Feb training. EUR 150/day plus assumed 25% burden. Allocate from March with 2-day reserve.</x:v>
      </x:c>
      <x:c r="H25" s="254" t="str">
        <x:v>Part 2 decision</x:v>
      </x:c>
      <x:c r="I25" s="254" t="str">
        <x:v>MIN(required lead days, source availability minus 2). External remainder at EUR 700/770. Do not double count fixed salary or assistant fees.</x:v>
      </x:c>
    </x:row>
    <x:row r="26" ht="112" customHeight="1">
      <x:c r="B26" s="254" t="n">
        <x:v>20</x:v>
      </x:c>
      <x:c r="C26" s="256" t="str">
        <x:v>Independent challenge and board decision</x:v>
      </x:c>
      <x:c r="D26" s="254" t="str">
        <x:v>Board</x:v>
      </x:c>
      <x:c r="E26" s="254" t="str">
        <x:v>00 Assignment P18/P19. Separate AI Part 2 challenge checked timing, costs and feasibility.</x:v>
      </x:c>
      <x:c r="F26" s="254" t="str">
        <x:v>Part 2 still forecasts an annual loss. Client, premium demand and dated trainer availability remain uncertain.</x:v>
      </x:c>
      <x:c r="G26" s="254" t="str">
        <x:v>Reject original profit claim. Conditionally authorise costed actions; withhold full annual approval.</x:v>
      </x:c>
      <x:c r="H26" s="254" t="str">
        <x:v>Review / decision</x:v>
      </x:c>
      <x:c r="I26" s="254" t="str">
        <x:v>Challenge response: Feb has only 47-day lead time if booked 11 Jan. If supplier needs 8 weeks, move to March and revise monthly budget. No personal certification claimed.</x:v>
      </x:c>
    </x:row>
    <x:row r="28">
      <x:c r="B28" t="str">
        <x:v>Elina Abdulmuslimova | ea25077. See live calculations on sheets 14–18. Assumptions remain conditional, not evidence of signed contracts.</x:v>
      </x:c>
    </x:row>
    <x:row r="30">
      <x:c r="B30" t="str">
        <x:v>Citation key</x:v>
      </x:c>
    </x:row>
    <x:row r="31" ht="48" customHeight="1">
      <x:c r="B31" s="13" t="str">
        <x:v>Workbook source: 02 Historical Results and Draft P&amp;L Budget.xlsx. Worksheet prefixes in this review identify the exact source sheet, followed by cells or rows.</x:v>
      </x:c>
      <x:c r="C31" s="13"/>
      <x:c r="D31" s="13"/>
      <x:c r="E31" s="13"/>
      <x:c r="F31" s="13"/>
      <x:c r="G31" s="13"/>
      <x:c r="H31" s="13"/>
      <x:c r="I31" s="13"/>
    </x:row>
    <x:row r="32" ht="48" customHeight="1">
      <x:c r="B32" s="13" t="str">
        <x:v>02 = 02 Prior Year Sales. 03 = 03 Prior Year Marketing. 04 = 04 Prior Year Programs. 05 sales = 05 Draft Sales Budget. 06 events/programs = 06 Draft Program Plan. 07 costs = 07 Draft Operating Costs.</x:v>
      </x:c>
      <x:c r="C32" s="13"/>
      <x:c r="D32" s="13"/>
      <x:c r="E32" s="13"/>
      <x:c r="F32" s="13"/>
      <x:c r="G32" s="13"/>
      <x:c r="H32" s="13"/>
      <x:c r="I32" s="13"/>
    </x:row>
    <x:row r="33" ht="48" customHeight="1">
      <x:c r="B33" s="13" t="str">
        <x:v>Documents: 00 Start Here Budget Review Assignment; 01 Company Background and Management Targets; 03 Sales Director Plan; 04 Marketing Director Plan; 05 Operations and Trainer Plan; 06 HR and Personnel Plan; 07 Finance and Administration Notes.</x:v>
      </x:c>
      <x:c r="C33" s="13"/>
      <x:c r="D33" s="13"/>
      <x:c r="E33" s="13"/>
      <x:c r="F33" s="13"/>
      <x:c r="G33" s="13"/>
      <x:c r="H33" s="13"/>
      <x:c r="I33" s="13"/>
    </x:row>
    <x:row r="34" ht="48" customHeight="1">
      <x:c r="B34" s="13" t="str">
        <x:v>Document P numbers count original document paragraphs, including blanks. Table 1 or Table 2 identifies the original DOCX table. June EUR 5,000 is the company calendar floor within the portfolio envelope, not evidence that Ella personally achieves 25% of that amount.</x:v>
      </x:c>
      <x:c r="C34" s="13"/>
      <x:c r="D34" s="13"/>
      <x:c r="E34" s="13"/>
      <x:c r="F34" s="13"/>
      <x:c r="G34" s="13"/>
      <x:c r="H34" s="13"/>
      <x:c r="I34" s="13"/>
    </x:row>
  </x:sheetData>
  <x:mergeCells>
    <x:mergeCell ref="B31:I31"/>
    <x:mergeCell ref="B32:I32"/>
    <x:mergeCell ref="B33:I33"/>
    <x:mergeCell ref="B34:I34"/>
  </x:mergeCells>
  <x:pageMargins left="0.7" right="0.7" top="0.75" bottom="0.75" header="0.3" footer="0.3"/>
</x:worksheet>
</file>

<file path=xl/worksheets/sheet11.xml><?xml version="1.0" encoding="utf-8"?>
<x:worksheet xmlns:x="http://schemas.openxmlformats.org/spreadsheetml/2006/main">
  <x:sheetPr>
    <x:tabColor rgb="FF183E4C"/>
  </x:sheetPr>
  <x:sheetViews>
    <x:sheetView showGridLines="0" workbookViewId="0">
      <x:pane xSplit="3" ySplit="6" topLeftCell="D7" activePane="bottomRight" state="frozen"/>
    </x:sheetView>
  </x:sheetViews>
  <x:sheetFormatPr defaultRowHeight="15"/>
  <x:cols>
    <x:col min="1" max="1" width="2" hidden="0" customWidth="1"/>
    <x:col min="2" max="2" width="28" hidden="0" customWidth="1"/>
    <x:col min="3" max="3" width="29"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6" hidden="0" customWidth="1"/>
  </x:cols>
  <x:sheetData>
    <x:row r="2">
      <x:c r="B2" s="24" t="str">
        <x:v>Part 1 Red-pencil correction</x:v>
      </x:c>
      <x:c r="C2" s="25"/>
      <x:c r="D2" s="25"/>
      <x:c r="E2" s="25"/>
      <x:c r="F2" s="25"/>
      <x:c r="G2" s="25"/>
      <x:c r="H2" s="25"/>
      <x:c r="I2" s="25"/>
      <x:c r="J2" s="25"/>
      <x:c r="K2" s="25"/>
      <x:c r="L2" s="25"/>
      <x:c r="M2" s="25"/>
      <x:c r="N2" s="25"/>
      <x:c r="O2" s="25"/>
      <x:c r="P2" s="25"/>
    </x:row>
    <x:row r="3">
      <x:c r="B3" s="26" t="str">
        <x:v>What would the monthly result be if management kept its existing decisions? Correct the estimates, not the business plan.</x:v>
      </x:c>
      <x:c r="C3" s="26"/>
      <x:c r="D3" s="26"/>
      <x:c r="E3" s="26"/>
      <x:c r="F3" s="26"/>
      <x:c r="G3" s="26"/>
      <x:c r="H3" s="26"/>
      <x:c r="I3" s="26"/>
      <x:c r="J3" s="26"/>
      <x:c r="K3" s="26"/>
      <x:c r="L3" s="26"/>
      <x:c r="M3" s="26"/>
      <x:c r="N3" s="26"/>
      <x:c r="O3" s="26"/>
      <x:c r="P3" s="26"/>
    </x:row>
    <x:row r="4">
      <x:c r="B4" s="27"/>
      <x:c r="C4" s="27"/>
      <x:c r="D4" s="27"/>
      <x:c r="E4" s="27"/>
      <x:c r="F4" s="27"/>
      <x:c r="G4" s="27"/>
      <x:c r="H4" s="27"/>
      <x:c r="I4" s="27"/>
      <x:c r="J4" s="27"/>
      <x:c r="K4" s="27"/>
      <x:c r="L4" s="27"/>
      <x:c r="M4" s="27"/>
      <x:c r="N4" s="27"/>
      <x:c r="O4" s="27"/>
      <x:c r="P4" s="27"/>
    </x:row>
    <x:row r="5" ht="23" customHeight="1">
      <x:c r="B5" s="26" t="str">
        <x:v>Enter costs as negative numbers. Enter 0 for a genuine zero; leave unfinished months blank. Add supporting calculations.</x:v>
      </x:c>
      <x:c r="C5" s="26"/>
      <x:c r="D5" s="26"/>
      <x:c r="E5" s="26"/>
      <x:c r="F5" s="26"/>
      <x:c r="G5" s="26"/>
      <x:c r="H5" s="26"/>
      <x:c r="I5" s="26"/>
      <x:c r="J5" s="26"/>
      <x:c r="K5" s="26"/>
      <x:c r="L5" s="26"/>
      <x:c r="M5" s="26"/>
      <x:c r="N5" s="26"/>
      <x:c r="O5" s="26"/>
      <x:c r="P5" s="26"/>
    </x:row>
    <x:row r="6">
      <x:c r="B6" s="8" t="str">
        <x:v>Budget line</x:v>
      </x:c>
      <x:c r="C6" s="8" t="str">
        <x:v>Evidence / calculation</x:v>
      </x:c>
      <x:c r="D6" s="8" t="str">
        <x:v>Jan</x:v>
      </x:c>
      <x:c r="E6" s="8" t="str">
        <x:v>Feb</x:v>
      </x:c>
      <x:c r="F6" s="8" t="str">
        <x:v>Mar</x:v>
      </x:c>
      <x:c r="G6" s="8" t="str">
        <x:v>Apr</x:v>
      </x:c>
      <x:c r="H6" s="8" t="str">
        <x:v>May</x:v>
      </x:c>
      <x:c r="I6" s="8" t="str">
        <x:v>Jun</x:v>
      </x:c>
      <x:c r="J6" s="8" t="str">
        <x:v>Jul</x:v>
      </x:c>
      <x:c r="K6" s="8" t="str">
        <x:v>Aug</x:v>
      </x:c>
      <x:c r="L6" s="8" t="str">
        <x:v>Sep</x:v>
      </x:c>
      <x:c r="M6" s="8" t="str">
        <x:v>Oct</x:v>
      </x:c>
      <x:c r="N6" s="8" t="str">
        <x:v>Nov</x:v>
      </x:c>
      <x:c r="O6" s="8" t="str">
        <x:v>Dec</x:v>
      </x:c>
      <x:c r="P6" s="8" t="str">
        <x:v>FY Total</x:v>
      </x:c>
    </x:row>
    <x:row r="7" ht="34" customHeight="1">
      <x:c r="B7" s="226" t="str">
        <x:v>Revenue</x:v>
      </x:c>
      <x:c r="C7" s="93" t="str">
        <x:v>Corporate plus supported calendar open sales</x:v>
      </x:c>
      <x:c r="D7" s="219" t="n">
        <x:f>'15 P1 Workings'!D40</x:f>
        <x:v>39800</x:v>
      </x:c>
      <x:c r="E7" s="219" t="n">
        <x:f>'15 P1 Workings'!E40</x:f>
        <x:v>40200</x:v>
      </x:c>
      <x:c r="F7" s="219" t="n">
        <x:f>'15 P1 Workings'!F40</x:f>
        <x:v>34500</x:v>
      </x:c>
      <x:c r="G7" s="219" t="n">
        <x:f>'15 P1 Workings'!G40</x:f>
        <x:v>32500</x:v>
      </x:c>
      <x:c r="H7" s="219" t="n">
        <x:f>'15 P1 Workings'!H40</x:f>
        <x:v>32800</x:v>
      </x:c>
      <x:c r="I7" s="219" t="n">
        <x:f>'15 P1 Workings'!I40</x:f>
        <x:v>20000</x:v>
      </x:c>
      <x:c r="J7" s="219" t="n">
        <x:f>'15 P1 Workings'!J40</x:f>
        <x:v>11250</x:v>
      </x:c>
      <x:c r="K7" s="219" t="n">
        <x:f>'15 P1 Workings'!K40</x:f>
        <x:v>28500</x:v>
      </x:c>
      <x:c r="L7" s="219" t="n">
        <x:f>'15 P1 Workings'!L40</x:f>
        <x:v>52700</x:v>
      </x:c>
      <x:c r="M7" s="219" t="n">
        <x:f>'15 P1 Workings'!M40</x:f>
        <x:v>58500</x:v>
      </x:c>
      <x:c r="N7" s="219" t="n">
        <x:f>'15 P1 Workings'!N40</x:f>
        <x:v>33800</x:v>
      </x:c>
      <x:c r="O7" s="219" t="n">
        <x:f>'15 P1 Workings'!O40</x:f>
        <x:v>30000</x:v>
      </x:c>
      <x:c r="P7" s="220" t="n">
        <x:f>IF(COUNT(D7:O7)=12,SUM(D7:O7),"")</x:f>
        <x:v>414550</x:v>
      </x:c>
    </x:row>
    <x:row r="8" ht="34" customHeight="1">
      <x:c r="B8" s="226" t="str">
        <x:v>Direct program costs</x:v>
      </x:c>
      <x:c r="C8" s="93" t="str">
        <x:v>26 events plus residual corporate delivery costs</x:v>
      </x:c>
      <x:c r="D8" s="219" t="n">
        <x:f>'15 P1 Workings'!D41</x:f>
        <x:v>-21280</x:v>
      </x:c>
      <x:c r="E8" s="219" t="n">
        <x:f>'15 P1 Workings'!E41</x:f>
        <x:v>-20890.9375</x:v>
      </x:c>
      <x:c r="F8" s="219" t="n">
        <x:f>'15 P1 Workings'!F41</x:f>
        <x:v>-18140.3125</x:v>
      </x:c>
      <x:c r="G8" s="219" t="n">
        <x:f>'15 P1 Workings'!G41</x:f>
        <x:v>-17259.40625</x:v>
      </x:c>
      <x:c r="H8" s="219" t="n">
        <x:f>'15 P1 Workings'!H41</x:f>
        <x:v>-16725.3125</x:v>
      </x:c>
      <x:c r="I8" s="219" t="n">
        <x:f>'15 P1 Workings'!I41</x:f>
        <x:v>-9925.9375</x:v>
      </x:c>
      <x:c r="J8" s="219" t="n">
        <x:f>'15 P1 Workings'!J41</x:f>
        <x:v>-6192.34375</x:v>
      </x:c>
      <x:c r="K8" s="219" t="n">
        <x:f>'15 P1 Workings'!K41</x:f>
        <x:v>-17235.3125</x:v>
      </x:c>
      <x:c r="L8" s="219" t="n">
        <x:f>'15 P1 Workings'!L41</x:f>
        <x:v>-29280.9375</x:v>
      </x:c>
      <x:c r="M8" s="219" t="n">
        <x:f>'15 P1 Workings'!M41</x:f>
        <x:v>-31859.11875</x:v>
      </x:c>
      <x:c r="N8" s="219" t="n">
        <x:f>'15 P1 Workings'!N41</x:f>
        <x:v>-17602.725</x:v>
      </x:c>
      <x:c r="O8" s="219" t="n">
        <x:f>'15 P1 Workings'!O41</x:f>
        <x:v>-16885.3125</x:v>
      </x:c>
      <x:c r="P8" s="220" t="n">
        <x:f>IF(COUNT(D8:O8)=12,SUM(D8:O8),"")</x:f>
        <x:v>-223277.65625</x:v>
      </x:c>
    </x:row>
    <x:row r="9" ht="34" customHeight="1">
      <x:c r="B9" s="226" t="str">
        <x:v>Contribution</x:v>
      </x:c>
      <x:c r="C9" s="93" t="str">
        <x:v>Revenue plus negative direct costs</x:v>
      </x:c>
      <x:c r="D9" s="220" t="n">
        <x:f>IF(COUNT(D7:D8)=2,SUM(D7:D8),"")</x:f>
        <x:v>18520</x:v>
      </x:c>
      <x:c r="E9" s="220" t="n">
        <x:f>IF(COUNT(E7:E8)=2,SUM(E7:E8),"")</x:f>
        <x:v>19309.0625</x:v>
      </x:c>
      <x:c r="F9" s="220" t="n">
        <x:f>IF(COUNT(F7:F8)=2,SUM(F7:F8),"")</x:f>
        <x:v>16359.6875</x:v>
      </x:c>
      <x:c r="G9" s="220" t="n">
        <x:f>IF(COUNT(G7:G8)=2,SUM(G7:G8),"")</x:f>
        <x:v>15240.59375</x:v>
      </x:c>
      <x:c r="H9" s="220" t="n">
        <x:f>IF(COUNT(H7:H8)=2,SUM(H7:H8),"")</x:f>
        <x:v>16074.6875</x:v>
      </x:c>
      <x:c r="I9" s="220" t="n">
        <x:f>IF(COUNT(I7:I8)=2,SUM(I7:I8),"")</x:f>
        <x:v>10074.0625</x:v>
      </x:c>
      <x:c r="J9" s="220" t="n">
        <x:f>IF(COUNT(J7:J8)=2,SUM(J7:J8),"")</x:f>
        <x:v>5057.65625</x:v>
      </x:c>
      <x:c r="K9" s="220" t="n">
        <x:f>IF(COUNT(K7:K8)=2,SUM(K7:K8),"")</x:f>
        <x:v>11264.6875</x:v>
      </x:c>
      <x:c r="L9" s="220" t="n">
        <x:f>IF(COUNT(L7:L8)=2,SUM(L7:L8),"")</x:f>
        <x:v>23419.0625</x:v>
      </x:c>
      <x:c r="M9" s="220" t="n">
        <x:f>IF(COUNT(M7:M8)=2,SUM(M7:M8),"")</x:f>
        <x:v>26640.88125</x:v>
      </x:c>
      <x:c r="N9" s="220" t="n">
        <x:f>IF(COUNT(N7:N8)=2,SUM(N7:N8),"")</x:f>
        <x:v>16197.275000000001</x:v>
      </x:c>
      <x:c r="O9" s="220" t="n">
        <x:f>IF(COUNT(O7:O8)=2,SUM(O7:O8),"")</x:f>
        <x:v>13114.6875</x:v>
      </x:c>
      <x:c r="P9" s="220" t="n">
        <x:f>IF(COUNT(D9:O9)=12,SUM(D9:O9),"")</x:f>
        <x:v>191272.34375</x:v>
      </x:c>
    </x:row>
    <x:row r="10" ht="34" customHeight="1">
      <x:c r="B10" s="226" t="str">
        <x:v>Contribution margin</x:v>
      </x:c>
      <x:c r="C10" s="93" t="str">
        <x:v>Contribution / revenue</x:v>
      </x:c>
      <x:c r="D10" s="221" t="n">
        <x:f>IF(AND(ISNUMBER(D9),D7&lt;&gt;0),D9/D7,"")</x:f>
        <x:v>0.4653266331658292</x:v>
      </x:c>
      <x:c r="E10" s="221" t="n">
        <x:f>IF(AND(ISNUMBER(E9),E7&lt;&gt;0),E9/E7,"")</x:f>
        <x:v>0.48032493781094526</x:v>
      </x:c>
      <x:c r="F10" s="221" t="n">
        <x:f>IF(AND(ISNUMBER(F9),F7&lt;&gt;0),F9/F7,"")</x:f>
        <x:v>0.47419384057971015</x:v>
      </x:c>
      <x:c r="G10" s="221" t="n">
        <x:f>IF(AND(ISNUMBER(G9),G7&lt;&gt;0),G9/G7,"")</x:f>
        <x:v>0.46894134615384614</x:v>
      </x:c>
      <x:c r="H10" s="221" t="n">
        <x:f>IF(AND(ISNUMBER(H9),H7&lt;&gt;0),H9/H7,"")</x:f>
        <x:v>0.4900819359756098</x:v>
      </x:c>
      <x:c r="I10" s="221" t="n">
        <x:f>IF(AND(ISNUMBER(I9),I7&lt;&gt;0),I9/I7,"")</x:f>
        <x:v>0.503703125</x:v>
      </x:c>
      <x:c r="J10" s="221" t="n">
        <x:f>IF(AND(ISNUMBER(J9),J7&lt;&gt;0),J9/J7,"")</x:f>
        <x:v>0.44956944444444447</x:v>
      </x:c>
      <x:c r="K10" s="221" t="n">
        <x:f>IF(AND(ISNUMBER(K9),K7&lt;&gt;0),K9/K7,"")</x:f>
        <x:v>0.3952521929824561</x:v>
      </x:c>
      <x:c r="L10" s="221" t="n">
        <x:f>IF(AND(ISNUMBER(L9),L7&lt;&gt;0),L9/L7,"")</x:f>
        <x:v>0.44438448766603417</x:v>
      </x:c>
      <x:c r="M10" s="221" t="n">
        <x:f>IF(AND(ISNUMBER(M9),M7&lt;&gt;0),M9/M7,"")</x:f>
        <x:v>0.45539967948717947</x:v>
      </x:c>
      <x:c r="N10" s="221" t="n">
        <x:f>IF(AND(ISNUMBER(N9),N7&lt;&gt;0),N9/N7,"")</x:f>
        <x:v>0.47920931952662726</x:v>
      </x:c>
      <x:c r="O10" s="221" t="n">
        <x:f>IF(AND(ISNUMBER(O9),O7&lt;&gt;0),O9/O7,"")</x:f>
        <x:v>0.43715625</x:v>
      </x:c>
      <x:c r="P10" s="221" t="n">
        <x:f>IF(AND(ISNUMBER(P9),P7&lt;&gt;0),P9/P7,"")</x:f>
        <x:v>0.4613975244240743</x:v>
      </x:c>
    </x:row>
    <x:row r="11" ht="34" customHeight="1">
      <x:c r="B11" s="226" t="str">
        <x:v>Operating expenses</x:v>
      </x:c>
      <x:c r="C11" s="93" t="str">
        <x:v>Staff dates, source overheads, insurance and studio depreciation</x:v>
      </x:c>
      <x:c r="D11" s="219" t="n">
        <x:f>'15 P1 Workings'!D50</x:f>
        <x:v>-24875</x:v>
      </x:c>
      <x:c r="E11" s="219" t="n">
        <x:f>'15 P1 Workings'!E50</x:f>
        <x:v>-24375</x:v>
      </x:c>
      <x:c r="F11" s="219" t="n">
        <x:f>'15 P1 Workings'!F50</x:f>
        <x:v>-22125</x:v>
      </x:c>
      <x:c r="G11" s="219" t="n">
        <x:f>'15 P1 Workings'!G50</x:f>
        <x:v>-21625</x:v>
      </x:c>
      <x:c r="H11" s="219" t="n">
        <x:f>'15 P1 Workings'!H50</x:f>
        <x:v>-23791.666666666668</x:v>
      </x:c>
      <x:c r="I11" s="219" t="n">
        <x:f>'15 P1 Workings'!I50</x:f>
        <x:v>-23291.666666666668</x:v>
      </x:c>
      <x:c r="J11" s="219" t="n">
        <x:f>'15 P1 Workings'!J50</x:f>
        <x:v>-21791.666666666668</x:v>
      </x:c>
      <x:c r="K11" s="219" t="n">
        <x:f>'15 P1 Workings'!K50</x:f>
        <x:v>-22791.666666666668</x:v>
      </x:c>
      <x:c r="L11" s="219" t="n">
        <x:f>'15 P1 Workings'!L50</x:f>
        <x:v>-25291.666666666668</x:v>
      </x:c>
      <x:c r="M11" s="219" t="n">
        <x:f>'15 P1 Workings'!M50</x:f>
        <x:v>-25791.666666666668</x:v>
      </x:c>
      <x:c r="N11" s="219" t="n">
        <x:f>'15 P1 Workings'!N50</x:f>
        <x:v>-24791.666666666668</x:v>
      </x:c>
      <x:c r="O11" s="219" t="n">
        <x:f>'15 P1 Workings'!O50</x:f>
        <x:v>-23291.666666666668</x:v>
      </x:c>
      <x:c r="P11" s="220" t="n">
        <x:f>IF(COUNT(D11:O11)=12,SUM(D11:O11),"")</x:f>
        <x:v>-283833.3333333333</x:v>
      </x:c>
    </x:row>
    <x:row r="12" ht="34" customHeight="1">
      <x:c r="B12" s="226" t="str">
        <x:v>Operating profit</x:v>
      </x:c>
      <x:c r="C12" s="93" t="str">
        <x:v>Case profit includes interest expense</x:v>
      </x:c>
      <x:c r="D12" s="220" t="n">
        <x:f>IF(AND(ISNUMBER(D9),ISNUMBER(D11)),SUM(D9,D11),"")</x:f>
        <x:v>-6355</x:v>
      </x:c>
      <x:c r="E12" s="220" t="n">
        <x:f>IF(AND(ISNUMBER(E9),ISNUMBER(E11)),SUM(E9,E11),"")</x:f>
        <x:v>-5065.9375</x:v>
      </x:c>
      <x:c r="F12" s="220" t="n">
        <x:f>IF(AND(ISNUMBER(F9),ISNUMBER(F11)),SUM(F9,F11),"")</x:f>
        <x:v>-5765.3125</x:v>
      </x:c>
      <x:c r="G12" s="220" t="n">
        <x:f>IF(AND(ISNUMBER(G9),ISNUMBER(G11)),SUM(G9,G11),"")</x:f>
        <x:v>-6384.40625</x:v>
      </x:c>
      <x:c r="H12" s="220" t="n">
        <x:f>IF(AND(ISNUMBER(H9),ISNUMBER(H11)),SUM(H9,H11),"")</x:f>
        <x:v>-7716.979166666668</x:v>
      </x:c>
      <x:c r="I12" s="220" t="n">
        <x:f>IF(AND(ISNUMBER(I9),ISNUMBER(I11)),SUM(I9,I11),"")</x:f>
        <x:v>-13217.604166666668</x:v>
      </x:c>
      <x:c r="J12" s="220" t="n">
        <x:f>IF(AND(ISNUMBER(J9),ISNUMBER(J11)),SUM(J9,J11),"")</x:f>
        <x:v>-16734.010416666668</x:v>
      </x:c>
      <x:c r="K12" s="220" t="n">
        <x:f>IF(AND(ISNUMBER(K9),ISNUMBER(K11)),SUM(K9,K11),"")</x:f>
        <x:v>-11526.979166666668</x:v>
      </x:c>
      <x:c r="L12" s="220" t="n">
        <x:f>IF(AND(ISNUMBER(L9),ISNUMBER(L11)),SUM(L9,L11),"")</x:f>
        <x:v>-1872.6041666666679</x:v>
      </x:c>
      <x:c r="M12" s="220" t="n">
        <x:f>IF(AND(ISNUMBER(M9),ISNUMBER(M11)),SUM(M9,M11),"")</x:f>
        <x:v>849.2145833333307</x:v>
      </x:c>
      <x:c r="N12" s="220" t="n">
        <x:f>IF(AND(ISNUMBER(N9),ISNUMBER(N11)),SUM(N9,N11),"")</x:f>
        <x:v>-8594.391666666666</x:v>
      </x:c>
      <x:c r="O12" s="220" t="n">
        <x:f>IF(AND(ISNUMBER(O9),ISNUMBER(O11)),SUM(O9,O11),"")</x:f>
        <x:v>-10176.979166666668</x:v>
      </x:c>
      <x:c r="P12" s="220" t="n">
        <x:f>IF(COUNT(D12:O12)=12,SUM(D12:O12),"")</x:f>
        <x:v>-92560.98958333334</x:v>
      </x:c>
    </x:row>
    <x:row r="13" ht="34" customHeight="1">
      <x:c r="B13" s="226" t="str">
        <x:v>Operating margin</x:v>
      </x:c>
      <x:c r="C13" s="93" t="str">
        <x:v>Operating profit / revenue</x:v>
      </x:c>
      <x:c r="D13" s="221" t="n">
        <x:f>IF(AND(ISNUMBER(D12),D7&lt;&gt;0),D12/D7,"")</x:f>
        <x:v>-0.15967336683417085</x:v>
      </x:c>
      <x:c r="E13" s="221" t="n">
        <x:f>IF(AND(ISNUMBER(E12),E7&lt;&gt;0),E12/E7,"")</x:f>
        <x:v>-0.1260183457711443</x:v>
      </x:c>
      <x:c r="F13" s="221" t="n">
        <x:f>IF(AND(ISNUMBER(F12),F7&lt;&gt;0),F12/F7,"")</x:f>
        <x:v>-0.1671105072463768</x:v>
      </x:c>
      <x:c r="G13" s="221" t="n">
        <x:f>IF(AND(ISNUMBER(G12),G7&lt;&gt;0),G12/G7,"")</x:f>
        <x:v>-0.19644326923076924</x:v>
      </x:c>
      <x:c r="H13" s="221" t="n">
        <x:f>IF(AND(ISNUMBER(H12),H7&lt;&gt;0),H12/H7,"")</x:f>
        <x:v>-0.23527375508130086</x:v>
      </x:c>
      <x:c r="I13" s="221" t="n">
        <x:f>IF(AND(ISNUMBER(I12),I7&lt;&gt;0),I12/I7,"")</x:f>
        <x:v>-0.6608802083333334</x:v>
      </x:c>
      <x:c r="J13" s="221" t="n">
        <x:f>IF(AND(ISNUMBER(J12),J7&lt;&gt;0),J12/J7,"")</x:f>
        <x:v>-1.4874675925925926</x:v>
      </x:c>
      <x:c r="K13" s="221" t="n">
        <x:f>IF(AND(ISNUMBER(K12),K7&lt;&gt;0),K12/K7,"")</x:f>
        <x:v>-0.4044554093567252</x:v>
      </x:c>
      <x:c r="L13" s="221" t="n">
        <x:f>IF(AND(ISNUMBER(L12),L7&lt;&gt;0),L12/L7,"")</x:f>
        <x:v>-0.03553328589500319</x:v>
      </x:c>
      <x:c r="M13" s="221" t="n">
        <x:f>IF(AND(ISNUMBER(M12),M7&lt;&gt;0),M12/M7,"")</x:f>
        <x:v>0.014516488603988558</x:v>
      </x:c>
      <x:c r="N13" s="221" t="n">
        <x:f>IF(AND(ISNUMBER(N12),N7&lt;&gt;0),N12/N7,"")</x:f>
        <x:v>-0.25427194280078896</x:v>
      </x:c>
      <x:c r="O13" s="221" t="n">
        <x:f>IF(AND(ISNUMBER(O12),O7&lt;&gt;0),O12/O7,"")</x:f>
        <x:v>-0.33923263888888894</x:v>
      </x:c>
      <x:c r="P13" s="221" t="n">
        <x:f>IF(AND(ISNUMBER(P12),P7&lt;&gt;0),P12/P7,"")</x:f>
        <x:v>-0.22328064065452502</x:v>
      </x:c>
    </x:row>
    <x:row r="14" ht="34" customHeight="1">
      <x:c r="B14" s="226" t="str">
        <x:v>Lead trainer days required</x:v>
      </x:c>
      <x:c r="C14" s="93" t="str">
        <x:v>Source calendar plus expected residual days</x:v>
      </x:c>
      <x:c r="D14" s="222" t="n">
        <x:f>'15 P1 Workings'!D39</x:f>
        <x:v>15.8</x:v>
      </x:c>
      <x:c r="E14" s="222" t="n">
        <x:f>'15 P1 Workings'!E39</x:f>
        <x:v>14</x:v>
      </x:c>
      <x:c r="F14" s="222" t="n">
        <x:f>'15 P1 Workings'!F39</x:f>
        <x:v>13</x:v>
      </x:c>
      <x:c r="G14" s="222" t="n">
        <x:f>'15 P1 Workings'!G39</x:f>
        <x:v>11.18</x:v>
      </x:c>
      <x:c r="H14" s="222" t="n">
        <x:f>'15 P1 Workings'!H39</x:f>
        <x:v>12</x:v>
      </x:c>
      <x:c r="I14" s="222" t="n">
        <x:f>'15 P1 Workings'!I39</x:f>
        <x:v>5.4</x:v>
      </x:c>
      <x:c r="J14" s="222" t="n">
        <x:f>'15 P1 Workings'!J39</x:f>
        <x:v>4.5</x:v>
      </x:c>
      <x:c r="K14" s="222" t="n">
        <x:f>'15 P1 Workings'!K39</x:f>
        <x:v>12</x:v>
      </x:c>
      <x:c r="L14" s="222" t="n">
        <x:f>'15 P1 Workings'!L39</x:f>
        <x:v>17</x:v>
      </x:c>
      <x:c r="M14" s="222" t="n">
        <x:f>'15 P1 Workings'!M39</x:f>
        <x:v>21.22</x:v>
      </x:c>
      <x:c r="N14" s="222" t="n">
        <x:f>'15 P1 Workings'!N39</x:f>
        <x:v>9.879999999999999</x:v>
      </x:c>
      <x:c r="O14" s="222" t="n">
        <x:f>'15 P1 Workings'!O39</x:f>
        <x:v>12</x:v>
      </x:c>
      <x:c r="P14" s="223" t="n">
        <x:f>IF(COUNT(D14:O14)=12,SUM(D14:O14),"")</x:f>
        <x:v>147.98</x:v>
      </x:c>
    </x:row>
    <x:row r="15" ht="34" customHeight="1">
      <x:c r="B15" s="226" t="str">
        <x:v>Open seats sold</x:v>
      </x:c>
      <x:c r="C15" s="93" t="str">
        <x:v>Lagged marketing funnel and event capacity</x:v>
      </x:c>
      <x:c r="D15" s="224" t="n">
        <x:f>'15 P1 Workings'!D34</x:f>
        <x:v>14</x:v>
      </x:c>
      <x:c r="E15" s="224" t="n">
        <x:f>'15 P1 Workings'!E34</x:f>
        <x:v>0</x:v>
      </x:c>
      <x:c r="F15" s="224" t="n">
        <x:f>'15 P1 Workings'!F34</x:f>
        <x:v>14</x:v>
      </x:c>
      <x:c r="G15" s="224" t="n">
        <x:f>'15 P1 Workings'!G34</x:f>
        <x:v>0</x:v>
      </x:c>
      <x:c r="H15" s="224" t="n">
        <x:f>'15 P1 Workings'!H34</x:f>
        <x:v>13</x:v>
      </x:c>
      <x:c r="I15" s="224" t="n">
        <x:f>'15 P1 Workings'!I34</x:f>
        <x:v>0</x:v>
      </x:c>
      <x:c r="J15" s="224" t="n">
        <x:f>'15 P1 Workings'!J34</x:f>
        <x:v>0</x:v>
      </x:c>
      <x:c r="K15" s="224" t="n">
        <x:f>'15 P1 Workings'!K34</x:f>
        <x:v>5</x:v>
      </x:c>
      <x:c r="L15" s="224" t="n">
        <x:f>'15 P1 Workings'!L34</x:f>
        <x:v>8</x:v>
      </x:c>
      <x:c r="M15" s="224" t="n">
        <x:f>'15 P1 Workings'!M34</x:f>
        <x:v>17</x:v>
      </x:c>
      <x:c r="N15" s="224" t="n">
        <x:f>'15 P1 Workings'!N34</x:f>
        <x:v>19</x:v>
      </x:c>
      <x:c r="O15" s="224" t="n">
        <x:f>'15 P1 Workings'!O34</x:f>
        <x:v>0</x:v>
      </x:c>
      <x:c r="P15" s="225" t="n">
        <x:f>IF(COUNT(D15:O15)=12,SUM(D15:O15),"")</x:f>
        <x:v>90</x:v>
      </x:c>
    </x:row>
    <x:row r="17" ht="24" customHeight="1">
      <x:c r="B17" s="107" t="str">
        <x:v>Yellow cells are your inputs or working formulas. Blue-grey cells calculate totals. Explain how sales, capacity and costs fit.</x:v>
      </x:c>
      <x:c r="C17" s="107"/>
      <x:c r="D17" s="107"/>
      <x:c r="E17" s="107"/>
      <x:c r="F17" s="107"/>
      <x:c r="G17" s="107"/>
      <x:c r="H17" s="107"/>
      <x:c r="I17" s="107"/>
      <x:c r="J17" s="107"/>
      <x:c r="K17" s="107"/>
      <x:c r="L17" s="107"/>
      <x:c r="M17" s="107"/>
      <x:c r="N17" s="107"/>
      <x:c r="O17" s="107"/>
      <x:c r="P17" s="107"/>
    </x:row>
    <x:row r="19">
      <x:c r="B19" t="str">
        <x:v>Elina Abdulmuslimova | ea25077</x:v>
      </x:c>
    </x:row>
    <x:row r="20">
      <x:c r="B20" t="str">
        <x:v>Expected portfolio days and contracts can be fractional. Execution requires whole dated bookings and confirmed clients.</x:v>
      </x:c>
    </x:row>
  </x:sheetData>
  <x:conditionalFormatting sqref="D12:P12">
    <x:cfRule type="cellIs" dxfId="0" priority="1" operator="lessThan">
      <x:formula>0</x:formula>
    </x:cfRule>
  </x:conditionalFormatting>
  <x:pageMargins left="0.7" right="0.7" top="0.75" bottom="0.75" header="0.3" footer="0.3"/>
</x:worksheet>
</file>

<file path=xl/worksheets/sheet12.xml><?xml version="1.0" encoding="utf-8"?>
<x:worksheet xmlns:x="http://schemas.openxmlformats.org/spreadsheetml/2006/main">
  <x:sheetPr>
    <x:tabColor rgb="FF183E4C"/>
  </x:sheetPr>
  <x:sheetViews>
    <x:sheetView showGridLines="0" workbookViewId="0"/>
  </x:sheetViews>
  <x:sheetFormatPr defaultRowHeight="15"/>
  <x:cols>
    <x:col min="1" max="1" width="2" hidden="0" customWidth="1"/>
    <x:col min="2" max="2" width="3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2">
      <x:c r="B2" s="24" t="str">
        <x:v>Part 2 Management decisions</x:v>
      </x:c>
      <x:c r="C2" s="25"/>
      <x:c r="D2" s="25"/>
      <x:c r="E2" s="25"/>
      <x:c r="F2" s="25"/>
      <x:c r="G2" s="25"/>
      <x:c r="H2" s="25"/>
      <x:c r="I2" s="25"/>
      <x:c r="J2" s="25"/>
    </x:row>
    <x:row r="3">
      <x:c r="B3" s="26" t="str">
        <x:v>State what you will change before building sheet 12. For each decision: action, starting month, cost, expected effect and basis.</x:v>
      </x:c>
      <x:c r="C3" s="26"/>
      <x:c r="D3" s="26"/>
      <x:c r="E3" s="26"/>
      <x:c r="F3" s="26"/>
      <x:c r="G3" s="26"/>
      <x:c r="H3" s="26"/>
      <x:c r="I3" s="26"/>
      <x:c r="J3" s="26"/>
    </x:row>
    <x:row r="4">
      <x:c r="B4" s="27"/>
      <x:c r="C4" s="27"/>
      <x:c r="D4" s="27"/>
      <x:c r="E4" s="27"/>
      <x:c r="F4" s="27"/>
      <x:c r="G4" s="27"/>
      <x:c r="H4" s="27"/>
      <x:c r="I4" s="27"/>
      <x:c r="J4" s="27"/>
    </x:row>
    <x:row r="5">
      <x:c r="B5" s="26" t="str">
        <x:v>Record your main decisions below; add rows if needed. Do not treat new actions as Part 1 corrections.</x:v>
      </x:c>
      <x:c r="C5" s="26"/>
      <x:c r="D5" s="26"/>
      <x:c r="E5" s="26"/>
      <x:c r="F5" s="26"/>
      <x:c r="G5" s="26"/>
      <x:c r="H5" s="26"/>
      <x:c r="I5" s="26"/>
      <x:c r="J5" s="26"/>
    </x:row>
    <x:row r="6" ht="140" customHeight="1">
      <x:c r="B6" s="259" t="str">
        <x:v>Board recommendation</x:v>
      </x:c>
      <x:c r="C6" s="253" t="str">
        <x:f>"Reject the original draft. Authorise the three costed actions conditionally, but withhold full annual budget approval while the management plan still forecasts a loss of EUR "&amp;TEXT(ABS('12 Management Budget'!P12),"#,##0.00")&amp;". Release spending only against the contractor agreement, paid premium demand, dated delivery capacity and instructor competence. Review pipeline and monthly profit before committing further activity."</x:f>
        <x:v>Reject the original draft. Authorise the three costed actions conditionally, but withhold full annual budget approval while the management plan still forecasts a loss of EUR 19,745.83. Release spending only against the contractor agreement, paid premium demand, dated delivery capacity and instructor competence. Review pipeline and monthly profit before committing further activity.</x:v>
      </x:c>
      <x:c r="D6" s="253"/>
      <x:c r="E6" s="253"/>
      <x:c r="F6" s="253"/>
      <x:c r="G6" s="253"/>
      <x:c r="H6" s="253"/>
      <x:c r="I6" s="253"/>
      <x:c r="J6" s="253"/>
    </x:row>
    <x:row r="7" ht="34" customHeight="1">
      <x:c r="B7" s="259" t="str">
        <x:v>Part 1 annual revenue</x:v>
      </x:c>
      <x:c r="C7" s="261" t="n">
        <x:f>IF(ISNUMBER('10 Corrected Budget'!P7),'10 Corrected Budget'!P7,"")</x:f>
        <x:v>414550</x:v>
      </x:c>
      <x:c r="D7" s="261"/>
      <x:c r="E7" s="261"/>
      <x:c r="F7" s="261"/>
      <x:c r="G7" s="261"/>
      <x:c r="H7" s="261"/>
      <x:c r="I7" s="261"/>
      <x:c r="J7" s="261"/>
    </x:row>
    <x:row r="8" ht="34" customHeight="1">
      <x:c r="B8" s="259" t="str">
        <x:v>Part 1 annual profit</x:v>
      </x:c>
      <x:c r="C8" s="261" t="n">
        <x:f>IF(ISNUMBER('10 Corrected Budget'!P12),'10 Corrected Budget'!P12,"")</x:f>
        <x:v>-92560.98958333334</x:v>
      </x:c>
      <x:c r="D8" s="261"/>
      <x:c r="E8" s="261"/>
      <x:c r="F8" s="261"/>
      <x:c r="G8" s="261"/>
      <x:c r="H8" s="261"/>
      <x:c r="I8" s="261"/>
      <x:c r="J8" s="261"/>
    </x:row>
    <x:row r="9" ht="34" customHeight="1">
      <x:c r="B9" s="259" t="str">
        <x:v>Part 2 annual revenue</x:v>
      </x:c>
      <x:c r="C9" s="261" t="n">
        <x:f>IF(ISNUMBER('12 Management Budget'!P7),'12 Management Budget'!P7,"")</x:f>
        <x:v>463050</x:v>
      </x:c>
      <x:c r="D9" s="261"/>
      <x:c r="E9" s="261"/>
      <x:c r="F9" s="261"/>
      <x:c r="G9" s="261"/>
      <x:c r="H9" s="261"/>
      <x:c r="I9" s="261"/>
      <x:c r="J9" s="261"/>
    </x:row>
    <x:row r="10" ht="34" customHeight="1">
      <x:c r="B10" s="259" t="str">
        <x:v>Part 2 annual profit</x:v>
      </x:c>
      <x:c r="C10" s="261" t="n">
        <x:f>IF(ISNUMBER('12 Management Budget'!P12),'12 Management Budget'!P12,"")</x:f>
        <x:v>-19745.827083333344</x:v>
      </x:c>
      <x:c r="D10" s="261"/>
      <x:c r="E10" s="261"/>
      <x:c r="F10" s="261"/>
      <x:c r="G10" s="261"/>
      <x:c r="H10" s="261"/>
      <x:c r="I10" s="261"/>
      <x:c r="J10" s="261"/>
    </x:row>
    <x:row r="11" ht="140" customHeight="1">
      <x:c r="B11" s="259" t="str">
        <x:v>Decision 1</x:v>
      </x:c>
      <x:c r="C11" s="253" t="str">
        <x:v>D1. Negotiate Anna contractor terms during Jan/Feb for March–December, total commission 10%. Recover 40% of only the former corporate history not already in the Part 1 envelope. Expected additional revenue EUR 15,500: Mar 4,000, Apr 7,000, May 3,000, Jun 1,000, Jul 500. Ordinary 5% is already priced. Add only the extra 5% on EUR 43,400 contracted revenue, including EUR 27,900 retained calendar, giving EUR 2,170 premium. Total contractor fee is EUR 4,340. Delivery costs are separately included. No signed agreement is claimed. March depends on Jan/Feb qualified renewal contact and advance bookings.</x:v>
      </x:c>
      <x:c r="D11" s="253"/>
      <x:c r="E11" s="253"/>
      <x:c r="F11" s="253"/>
      <x:c r="G11" s="253"/>
      <x:c r="H11" s="253"/>
      <x:c r="I11" s="253"/>
      <x:c r="J11" s="253"/>
    </x:row>
    <x:row r="12" ht="170" customHeight="1">
      <x:c r="B12" s="259" t="str">
        <x:v>Decision 2</x:v>
      </x:c>
      <x:c r="C12" s="253" t="str">
        <x:v>D2. Linda launches four Executive Blame Delegation events at EUR 600 per seat, 2 days, maximum 20 paid seats. Use unserved Part 1 demand: Feb 14, Apr 13, Jun 13, Dec 15 seats, EUR 33,000 revenue. Include venue EUR 600/day, materials EUR 15/person/day, ordinary 5% commission and all instructor costs. Setup EUR 1,000 in January is incremental to existing marketing. Promote through the existing appropriation, with premium segmentation and four-week follow-up. Require at least 8 prepaid seats and supplier confirmation. Proposed dates Feb 27–28 (book 11 Jan, 47 days), Apr 23–24 (book 26 Feb), Jun 18–19 (book 23 Apr), Dec 10–11 (book 15 Oct). Move February to March and revise the monthly forecast if eight-week supplier notice is required.</x:v>
      </x:c>
      <x:c r="D12" s="253"/>
      <x:c r="E12" s="253"/>
      <x:c r="F12" s="253"/>
      <x:c r="G12" s="253"/>
      <x:c r="H12" s="253"/>
      <x:c r="I12" s="253"/>
      <x:c r="J12" s="253"/>
    </x:row>
    <x:row r="13" ht="140" customHeight="1">
      <x:c r="B13" s="259" t="str">
        <x:v>Decision 3</x:v>
      </x:c>
      <x:c r="C13" s="253" t="str">
        <x:v>D3. Spend EUR 1,000 in February to train the internal senior instructor. From March allocate MIN(all lead days, source availability less 2 reserved days), subject to course competence and dated availability. Pay an additional gross allowance EUR 150/day plus an assumed 25% burden, EUR 187.50 loaded. Existing EUR 2,500 departmental fixed salary is assumed to cover the senior instructor; this must be confirmed. External remainder stays at EUR 700/day through June and EUR 770 thereafter. Assistants remain separately priced. Prepare a whole-day calendar and maintain the reserve; fractional expected portfolio days are not actual assignments.</x:v>
      </x:c>
      <x:c r="D13" s="253"/>
      <x:c r="E13" s="253"/>
      <x:c r="F13" s="253"/>
      <x:c r="G13" s="253"/>
      <x:c r="H13" s="253"/>
      <x:c r="I13" s="253"/>
      <x:c r="J13" s="253"/>
    </x:row>
    <x:row r="14" ht="125" customHeight="1">
      <x:c r="B14" s="259" t="str">
        <x:v>Main remaining risk</x:v>
      </x:c>
      <x:c r="C14" s="253" t="str">
        <x:f>"Remaining risk: Anna terms, premium demand, client dates and trainer competence are unconfirmed. If all internal substitution fails while training remains spent, profit is EUR "&amp;TEXT('16 P2 Workings'!P44-'16 P2 Workings'!P35,"#,##0.00;(#,##0.00)")&amp;". If the EUR 2,500 source delivery salary excludes the senior and the same extra gross salary is needed March–December, loaded expense adds EUR 31,250 and profit is EUR "&amp;TEXT('16 P2 Workings'!P44-SUM('07 Draft Operating Costs'!F8:O8)*(1+'14 Drivers'!$D$35),"#,##0.00;(#,##0.00)")&amp;". These are distinct risk diagnostics. Part 2 is not a positive-profit plan. Independent AI challenge prompted booking gates, prepaid seats, reserve and failure disclosures."</x:f>
        <x:v>Remaining risk: Anna terms, premium demand, client dates and trainer competence are unconfirmed. If all internal substitution fails while training remains spent, profit is EUR (70,503.43). If the EUR 2,500 source delivery salary excludes the senior and the same extra gross salary is needed March–December, loaded expense adds EUR 31,250 and profit is EUR (50,995.83). These are distinct risk diagnostics. Part 2 is not a positive-profit plan. Independent AI challenge prompted booking gates, prepaid seats, reserve and failure disclosures.</x:v>
      </x:c>
      <x:c r="D14" s="253"/>
      <x:c r="E14" s="253"/>
      <x:c r="F14" s="253"/>
      <x:c r="G14" s="253"/>
      <x:c r="H14" s="253"/>
      <x:c r="I14" s="253"/>
      <x:c r="J14" s="253"/>
    </x:row>
    <x:row r="16">
      <x:c r="B16" s="262" t="str">
        <x:v>Decision effects are live</x:v>
      </x:c>
      <x:c r="C16" s="262"/>
      <x:c r="D16" s="262"/>
      <x:c r="E16" s="262"/>
      <x:c r="F16" s="262"/>
      <x:c r="G16" s="262"/>
      <x:c r="H16" s="262"/>
      <x:c r="I16" s="262"/>
      <x:c r="J16" s="262"/>
    </x:row>
    <x:row r="17">
      <x:c r="B17" t="str">
        <x:v>D1 standalone profit effect</x:v>
      </x:c>
      <x:c r="C17" s="265" t="n">
        <x:f>'16 P2 Workings'!P15</x:f>
        <x:v>4897.5625</x:v>
      </x:c>
    </x:row>
    <x:row r="18">
      <x:c r="B18" t="str">
        <x:v>D2 standalone profit effect</x:v>
      </x:c>
      <x:c r="C18" s="265" t="n">
        <x:f>'16 P2 Workings'!P26</x:f>
        <x:v>18160</x:v>
      </x:c>
    </x:row>
    <x:row r="19">
      <x:c r="B19" t="str">
        <x:v>D3 standalone profit effect</x:v>
      </x:c>
      <x:c r="C19" s="265" t="n">
        <x:f>'16 P2 Workings'!P38</x:f>
        <x:v>49757.6</x:v>
      </x:c>
    </x:row>
    <x:row r="21" ht="85" customHeight="1">
      <x:c r="B21" s="13" t="str">
        <x:v>Control and review</x:v>
      </x:c>
      <x:c r="C21" s="13" t="str">
        <x:v>Weekly qualified-opportunity and renewal review. Linda owns paid-seat evidence, delivery head owns dated lead and assistant roster, finance checks terms, allowance and actual unit costs. Monthly reforecast if any condition fails. Approval remains conditional.</x:v>
      </x:c>
      <x:c r="D21" s="13"/>
      <x:c r="E21" s="13"/>
      <x:c r="F21" s="13"/>
      <x:c r="G21" s="13"/>
      <x:c r="H21" s="13"/>
      <x:c r="I21" s="13"/>
      <x:c r="J21" s="13"/>
    </x:row>
    <x:row r="23" ht="85" customHeight="1">
      <x:c r="B23" s="267" t="str">
        <x:v>Final board recommendation</x:v>
      </x:c>
      <x:c r="C23" s="267" t="str">
        <x:f>"Reject the original draft. Conditionally authorise the three costed actions, but withhold full annual approval while forecast loss remains EUR "&amp;TEXT(ABS('12 Management Budget'!P12),"#,##0.00")&amp;". Require the stated contracts, paid-seat demand and delivery conditions, then review actual performance and reforecast monthly."</x:f>
        <x:v>Reject the original draft. Conditionally authorise the three costed actions, but withhold full annual approval while forecast loss remains EUR 19,745.83. Require the stated contracts, paid-seat demand and delivery conditions, then review actual performance and reforecast monthly.</x:v>
      </x:c>
      <x:c r="D23" s="267"/>
      <x:c r="E23" s="267"/>
      <x:c r="F23" s="267"/>
      <x:c r="G23" s="267"/>
      <x:c r="H23" s="267"/>
      <x:c r="I23" s="267"/>
      <x:c r="J23" s="267"/>
    </x:row>
  </x:sheetData>
  <x:mergeCells>
    <x:mergeCell ref="C6:J6"/>
    <x:mergeCell ref="C7:J7"/>
    <x:mergeCell ref="C8:J8"/>
    <x:mergeCell ref="C9:J9"/>
    <x:mergeCell ref="C10:J10"/>
    <x:mergeCell ref="C11:J11"/>
    <x:mergeCell ref="C12:J12"/>
    <x:mergeCell ref="C13:J13"/>
    <x:mergeCell ref="C14:J14"/>
    <x:mergeCell ref="C21:J21"/>
    <x:mergeCell ref="C23:J23"/>
  </x:mergeCells>
  <x:pageMargins left="0.7" right="0.7" top="0.75" bottom="0.75" header="0.3" footer="0.3"/>
</x:worksheet>
</file>

<file path=xl/worksheets/sheet13.xml><?xml version="1.0" encoding="utf-8"?>
<x:worksheet xmlns:x="http://schemas.openxmlformats.org/spreadsheetml/2006/main">
  <x:sheetPr>
    <x:tabColor rgb="FF183E4C"/>
  </x:sheetPr>
  <x:sheetViews>
    <x:sheetView showGridLines="0" workbookViewId="0">
      <x:pane xSplit="3" ySplit="6" topLeftCell="D7" activePane="bottomRight" state="frozen"/>
    </x:sheetView>
  </x:sheetViews>
  <x:sheetFormatPr defaultRowHeight="15"/>
  <x:cols>
    <x:col min="1" max="1" width="2" hidden="0" customWidth="1"/>
    <x:col min="2" max="2" width="28" hidden="0" customWidth="1"/>
    <x:col min="3" max="3" width="29"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6" hidden="0" customWidth="1"/>
  </x:cols>
  <x:sheetData>
    <x:row r="1">
      <x:c r="A1"/>
      <x:c r="B1"/>
      <x:c r="C1"/>
      <x:c r="D1"/>
      <x:c r="E1"/>
      <x:c r="F1"/>
      <x:c r="G1"/>
      <x:c r="H1"/>
      <x:c r="I1"/>
      <x:c r="J1"/>
      <x:c r="K1"/>
      <x:c r="L1"/>
      <x:c r="M1"/>
      <x:c r="N1"/>
      <x:c r="O1"/>
      <x:c r="P1"/>
    </x:row>
    <x:row r="2">
      <x:c r="A2"/>
      <x:c r="B2" s="106" t="str">
        <x:v>Part 2 Management decisions and budget</x:v>
      </x:c>
      <x:c r="C2" s="106"/>
      <x:c r="D2" s="106"/>
      <x:c r="E2" s="106"/>
      <x:c r="F2" s="106"/>
      <x:c r="G2" s="106"/>
      <x:c r="H2" s="106"/>
      <x:c r="I2" s="106"/>
      <x:c r="J2" s="106"/>
      <x:c r="K2" s="106"/>
      <x:c r="L2" s="106"/>
      <x:c r="M2" s="106"/>
      <x:c r="N2" s="106"/>
      <x:c r="O2" s="106"/>
      <x:c r="P2" s="106"/>
    </x:row>
    <x:row r="3">
      <x:c r="A3"/>
      <x:c r="B3" s="107" t="str">
        <x:v>Build a new monthly P&amp;L from Part 1 plus the management decisions recorded in sheet 11. Include their costs and timing.</x:v>
      </x:c>
      <x:c r="C3" s="107"/>
      <x:c r="D3" s="107"/>
      <x:c r="E3" s="107"/>
      <x:c r="F3" s="107"/>
      <x:c r="G3" s="107"/>
      <x:c r="H3" s="107"/>
      <x:c r="I3" s="107"/>
      <x:c r="J3" s="107"/>
      <x:c r="K3" s="107"/>
      <x:c r="L3" s="107"/>
      <x:c r="M3" s="107"/>
      <x:c r="N3" s="107"/>
      <x:c r="O3" s="107"/>
      <x:c r="P3" s="107"/>
    </x:row>
    <x:row r="4">
      <x:c r="A4"/>
      <x:c r="B4" s="103"/>
      <x:c r="C4" s="103"/>
      <x:c r="D4" s="103"/>
      <x:c r="E4" s="103"/>
      <x:c r="F4" s="103"/>
      <x:c r="G4" s="103"/>
      <x:c r="H4" s="103"/>
      <x:c r="I4" s="103"/>
      <x:c r="J4" s="103"/>
      <x:c r="K4" s="103"/>
      <x:c r="L4" s="103"/>
      <x:c r="M4" s="103"/>
      <x:c r="N4" s="103"/>
      <x:c r="O4" s="103"/>
      <x:c r="P4" s="103"/>
    </x:row>
    <x:row r="5" ht="23" customHeight="1">
      <x:c r="A5"/>
      <x:c r="B5" s="107" t="str">
        <x:v>Enter costs as negative numbers. Enter 0 for a genuine zero; leave unfinished months blank. Add supporting calculations.</x:v>
      </x:c>
      <x:c r="C5" s="107"/>
      <x:c r="D5" s="107"/>
      <x:c r="E5" s="107"/>
      <x:c r="F5" s="107"/>
      <x:c r="G5" s="107"/>
      <x:c r="H5" s="107"/>
      <x:c r="I5" s="107"/>
      <x:c r="J5" s="107"/>
      <x:c r="K5" s="107"/>
      <x:c r="L5" s="107"/>
      <x:c r="M5" s="107"/>
      <x:c r="N5" s="107"/>
      <x:c r="O5" s="107"/>
      <x:c r="P5" s="107"/>
    </x:row>
    <x:row r="6">
      <x:c r="A6"/>
      <x:c r="B6" s="111" t="str">
        <x:v>Budget line</x:v>
      </x:c>
      <x:c r="C6" s="111" t="str">
        <x:v>Decision / calculation</x:v>
      </x:c>
      <x:c r="D6" s="111" t="str">
        <x:v>Jan</x:v>
      </x:c>
      <x:c r="E6" s="111" t="str">
        <x:v>Feb</x:v>
      </x:c>
      <x:c r="F6" s="111" t="str">
        <x:v>Mar</x:v>
      </x:c>
      <x:c r="G6" s="111" t="str">
        <x:v>Apr</x:v>
      </x:c>
      <x:c r="H6" s="111" t="str">
        <x:v>May</x:v>
      </x:c>
      <x:c r="I6" s="111" t="str">
        <x:v>Jun</x:v>
      </x:c>
      <x:c r="J6" s="111" t="str">
        <x:v>Jul</x:v>
      </x:c>
      <x:c r="K6" s="111" t="str">
        <x:v>Aug</x:v>
      </x:c>
      <x:c r="L6" s="111" t="str">
        <x:v>Sep</x:v>
      </x:c>
      <x:c r="M6" s="111" t="str">
        <x:v>Oct</x:v>
      </x:c>
      <x:c r="N6" s="111" t="str">
        <x:v>Nov</x:v>
      </x:c>
      <x:c r="O6" s="111" t="str">
        <x:v>Dec</x:v>
      </x:c>
      <x:c r="P6" s="111" t="str">
        <x:v>FY Total</x:v>
      </x:c>
    </x:row>
    <x:row r="7" ht="34" customHeight="1">
      <x:c r="A7"/>
      <x:c r="B7" s="247" t="str">
        <x:v>Revenue</x:v>
      </x:c>
      <x:c r="C7" s="248" t="str">
        <x:v>Part 1 plus Anna recovery and 4 premium events</x:v>
      </x:c>
      <x:c r="D7" s="240" t="n">
        <x:f>'16 P2 Workings'!D40</x:f>
        <x:v>39800</x:v>
      </x:c>
      <x:c r="E7" s="240" t="n">
        <x:f>'16 P2 Workings'!E40</x:f>
        <x:v>48600</x:v>
      </x:c>
      <x:c r="F7" s="240" t="n">
        <x:f>'16 P2 Workings'!F40</x:f>
        <x:v>38500</x:v>
      </x:c>
      <x:c r="G7" s="240" t="n">
        <x:f>'16 P2 Workings'!G40</x:f>
        <x:v>47300</x:v>
      </x:c>
      <x:c r="H7" s="240" t="n">
        <x:f>'16 P2 Workings'!H40</x:f>
        <x:v>35800</x:v>
      </x:c>
      <x:c r="I7" s="240" t="n">
        <x:f>'16 P2 Workings'!I40</x:f>
        <x:v>28800</x:v>
      </x:c>
      <x:c r="J7" s="240" t="n">
        <x:f>'16 P2 Workings'!J40</x:f>
        <x:v>11750</x:v>
      </x:c>
      <x:c r="K7" s="240" t="n">
        <x:f>'16 P2 Workings'!K40</x:f>
        <x:v>28500</x:v>
      </x:c>
      <x:c r="L7" s="240" t="n">
        <x:f>'16 P2 Workings'!L40</x:f>
        <x:v>52700</x:v>
      </x:c>
      <x:c r="M7" s="240" t="n">
        <x:f>'16 P2 Workings'!M40</x:f>
        <x:v>58500</x:v>
      </x:c>
      <x:c r="N7" s="240" t="n">
        <x:f>'16 P2 Workings'!N40</x:f>
        <x:v>33800</x:v>
      </x:c>
      <x:c r="O7" s="240" t="n">
        <x:f>'16 P2 Workings'!O40</x:f>
        <x:v>39000</x:v>
      </x:c>
      <x:c r="P7" s="241" t="n">
        <x:f>IF(COUNT(D7:O7)=12,SUM(D7:O7),"")</x:f>
        <x:v>463050</x:v>
      </x:c>
    </x:row>
    <x:row r="8" ht="34" customHeight="1">
      <x:c r="A8"/>
      <x:c r="B8" s="247" t="str">
        <x:v>Direct program costs</x:v>
      </x:c>
      <x:c r="C8" s="248" t="str">
        <x:v>Part 1 costs plus actions less internal substitution saving</x:v>
      </x:c>
      <x:c r="D8" s="240" t="n">
        <x:f>'16 P2 Workings'!D41</x:f>
        <x:v>-21280</x:v>
      </x:c>
      <x:c r="E8" s="240" t="n">
        <x:f>'16 P2 Workings'!E41</x:f>
        <x:v>-24330.9375</x:v>
      </x:c>
      <x:c r="F8" s="240" t="n">
        <x:f>'16 P2 Workings'!F41</x:f>
        <x:v>-15637.8125</x:v>
      </x:c>
      <x:c r="G8" s="240" t="n">
        <x:f>'16 P2 Workings'!G41</x:f>
        <x:v>-19666.28125</x:v>
      </x:c>
      <x:c r="H8" s="240" t="n">
        <x:f>'16 P2 Workings'!H41</x:f>
        <x:v>-13504.6875</x:v>
      </x:c>
      <x:c r="I8" s="240" t="n">
        <x:f>'16 P2 Workings'!I41</x:f>
        <x:v>-9901.5625</x:v>
      </x:c>
      <x:c r="J8" s="240" t="n">
        <x:f>'16 P2 Workings'!J41</x:f>
        <x:v>-4172.90625</x:v>
      </x:c>
      <x:c r="K8" s="240" t="n">
        <x:f>'16 P2 Workings'!K41</x:f>
        <x:v>-13740.3125</x:v>
      </x:c>
      <x:c r="L8" s="240" t="n">
        <x:f>'16 P2 Workings'!L41</x:f>
        <x:v>-23060.9375</x:v>
      </x:c>
      <x:c r="M8" s="240" t="n">
        <x:f>'16 P2 Workings'!M41</x:f>
        <x:v>-24869.11875</x:v>
      </x:c>
      <x:c r="N8" s="240" t="n">
        <x:f>'16 P2 Workings'!N41</x:f>
        <x:v>-12097.624999999998</x:v>
      </x:c>
      <x:c r="O8" s="240" t="n">
        <x:f>'16 P2 Workings'!O41</x:f>
        <x:v>-14700.3125</x:v>
      </x:c>
      <x:c r="P8" s="241" t="n">
        <x:f>IF(COUNT(D8:O8)=12,SUM(D8:O8),"")</x:f>
        <x:v>-196962.49375</x:v>
      </x:c>
    </x:row>
    <x:row r="9" ht="34" customHeight="1">
      <x:c r="A9"/>
      <x:c r="B9" s="247" t="str">
        <x:v>Contribution</x:v>
      </x:c>
      <x:c r="C9" s="248" t="str">
        <x:v>Revenue plus negative direct costs</x:v>
      </x:c>
      <x:c r="D9" s="241" t="n">
        <x:f>IF(COUNT(D7:D8)=2,SUM(D7:D8),"")</x:f>
        <x:v>18520</x:v>
      </x:c>
      <x:c r="E9" s="241" t="n">
        <x:f>IF(COUNT(E7:E8)=2,SUM(E7:E8),"")</x:f>
        <x:v>24269.0625</x:v>
      </x:c>
      <x:c r="F9" s="241" t="n">
        <x:f>IF(COUNT(F7:F8)=2,SUM(F7:F8),"")</x:f>
        <x:v>22862.1875</x:v>
      </x:c>
      <x:c r="G9" s="241" t="n">
        <x:f>IF(COUNT(G7:G8)=2,SUM(G7:G8),"")</x:f>
        <x:v>27633.71875</x:v>
      </x:c>
      <x:c r="H9" s="241" t="n">
        <x:f>IF(COUNT(H7:H8)=2,SUM(H7:H8),"")</x:f>
        <x:v>22295.3125</x:v>
      </x:c>
      <x:c r="I9" s="241" t="n">
        <x:f>IF(COUNT(I7:I8)=2,SUM(I7:I8),"")</x:f>
        <x:v>18898.4375</x:v>
      </x:c>
      <x:c r="J9" s="241" t="n">
        <x:f>IF(COUNT(J7:J8)=2,SUM(J7:J8),"")</x:f>
        <x:v>7577.09375</x:v>
      </x:c>
      <x:c r="K9" s="241" t="n">
        <x:f>IF(COUNT(K7:K8)=2,SUM(K7:K8),"")</x:f>
        <x:v>14759.6875</x:v>
      </x:c>
      <x:c r="L9" s="241" t="n">
        <x:f>IF(COUNT(L7:L8)=2,SUM(L7:L8),"")</x:f>
        <x:v>29639.0625</x:v>
      </x:c>
      <x:c r="M9" s="241" t="n">
        <x:f>IF(COUNT(M7:M8)=2,SUM(M7:M8),"")</x:f>
        <x:v>33630.88125</x:v>
      </x:c>
      <x:c r="N9" s="241" t="n">
        <x:f>IF(COUNT(N7:N8)=2,SUM(N7:N8),"")</x:f>
        <x:v>21702.375</x:v>
      </x:c>
      <x:c r="O9" s="241" t="n">
        <x:f>IF(COUNT(O7:O8)=2,SUM(O7:O8),"")</x:f>
        <x:v>24299.6875</x:v>
      </x:c>
      <x:c r="P9" s="241" t="n">
        <x:f>IF(COUNT(D9:O9)=12,SUM(D9:O9),"")</x:f>
        <x:v>266087.50625</x:v>
      </x:c>
    </x:row>
    <x:row r="10" ht="34" customHeight="1">
      <x:c r="A10"/>
      <x:c r="B10" s="247" t="str">
        <x:v>Contribution margin</x:v>
      </x:c>
      <x:c r="C10" s="248" t="str">
        <x:v>Contribution / revenue</x:v>
      </x:c>
      <x:c r="D10" s="242" t="n">
        <x:f>IF(AND(ISNUMBER(D9),D7&lt;&gt;0),D9/D7,"")</x:f>
        <x:v>0.4653266331658292</x:v>
      </x:c>
      <x:c r="E10" s="242" t="n">
        <x:f>IF(AND(ISNUMBER(E9),E7&lt;&gt;0),E9/E7,"")</x:f>
        <x:v>0.4993634259259259</x:v>
      </x:c>
      <x:c r="F10" s="242" t="n">
        <x:f>IF(AND(ISNUMBER(F9),F7&lt;&gt;0),F9/F7,"")</x:f>
        <x:v>0.593823051948052</x:v>
      </x:c>
      <x:c r="G10" s="242" t="n">
        <x:f>IF(AND(ISNUMBER(G9),G7&lt;&gt;0),G9/G7,"")</x:f>
        <x:v>0.5842223837209303</x:v>
      </x:c>
      <x:c r="H10" s="242" t="n">
        <x:f>IF(AND(ISNUMBER(H9),H7&lt;&gt;0),H9/H7,"")</x:f>
        <x:v>0.622774092178771</x:v>
      </x:c>
      <x:c r="I10" s="242" t="n">
        <x:f>IF(AND(ISNUMBER(I9),I7&lt;&gt;0),I9/I7,"")</x:f>
        <x:v>0.6561957465277778</x:v>
      </x:c>
      <x:c r="J10" s="242" t="n">
        <x:f>IF(AND(ISNUMBER(J9),J7&lt;&gt;0),J9/J7,"")</x:f>
        <x:v>0.6448590425531915</x:v>
      </x:c>
      <x:c r="K10" s="242" t="n">
        <x:f>IF(AND(ISNUMBER(K9),K7&lt;&gt;0),K9/K7,"")</x:f>
        <x:v>0.5178837719298246</x:v>
      </x:c>
      <x:c r="L10" s="242" t="n">
        <x:f>IF(AND(ISNUMBER(L9),L7&lt;&gt;0),L9/L7,"")</x:f>
        <x:v>0.5624110531309298</x:v>
      </x:c>
      <x:c r="M10" s="242" t="n">
        <x:f>IF(AND(ISNUMBER(M9),M7&lt;&gt;0),M9/M7,"")</x:f>
        <x:v>0.574886858974359</x:v>
      </x:c>
      <x:c r="N10" s="242" t="n">
        <x:f>IF(AND(ISNUMBER(N9),N7&lt;&gt;0),N9/N7,"")</x:f>
        <x:v>0.642082100591716</x:v>
      </x:c>
      <x:c r="O10" s="242" t="n">
        <x:f>IF(AND(ISNUMBER(O9),O7&lt;&gt;0),O9/O7,"")</x:f>
        <x:v>0.6230689102564102</x:v>
      </x:c>
      <x:c r="P10" s="242" t="n">
        <x:f>IF(AND(ISNUMBER(P9),P7&lt;&gt;0),P9/P7,"")</x:f>
        <x:v>0.5746409809955728</x:v>
      </x:c>
    </x:row>
    <x:row r="11" ht="34" customHeight="1">
      <x:c r="A11"/>
      <x:c r="B11" s="247" t="str">
        <x:v>Operating expenses</x:v>
      </x:c>
      <x:c r="C11" s="248" t="str">
        <x:v>Part 1 plus EUR 1,000 setup and EUR 1,000 training</x:v>
      </x:c>
      <x:c r="D11" s="240" t="n">
        <x:f>'16 P2 Workings'!D42</x:f>
        <x:v>-25875</x:v>
      </x:c>
      <x:c r="E11" s="240" t="n">
        <x:f>'16 P2 Workings'!E42</x:f>
        <x:v>-25375</x:v>
      </x:c>
      <x:c r="F11" s="240" t="n">
        <x:f>'16 P2 Workings'!F42</x:f>
        <x:v>-22125</x:v>
      </x:c>
      <x:c r="G11" s="240" t="n">
        <x:f>'16 P2 Workings'!G42</x:f>
        <x:v>-21625</x:v>
      </x:c>
      <x:c r="H11" s="240" t="n">
        <x:f>'16 P2 Workings'!H42</x:f>
        <x:v>-23791.666666666668</x:v>
      </x:c>
      <x:c r="I11" s="240" t="n">
        <x:f>'16 P2 Workings'!I42</x:f>
        <x:v>-23291.666666666668</x:v>
      </x:c>
      <x:c r="J11" s="240" t="n">
        <x:f>'16 P2 Workings'!J42</x:f>
        <x:v>-21791.666666666668</x:v>
      </x:c>
      <x:c r="K11" s="240" t="n">
        <x:f>'16 P2 Workings'!K42</x:f>
        <x:v>-22791.666666666668</x:v>
      </x:c>
      <x:c r="L11" s="240" t="n">
        <x:f>'16 P2 Workings'!L42</x:f>
        <x:v>-25291.666666666668</x:v>
      </x:c>
      <x:c r="M11" s="240" t="n">
        <x:f>'16 P2 Workings'!M42</x:f>
        <x:v>-25791.666666666668</x:v>
      </x:c>
      <x:c r="N11" s="240" t="n">
        <x:f>'16 P2 Workings'!N42</x:f>
        <x:v>-24791.666666666668</x:v>
      </x:c>
      <x:c r="O11" s="240" t="n">
        <x:f>'16 P2 Workings'!O42</x:f>
        <x:v>-23291.666666666668</x:v>
      </x:c>
      <x:c r="P11" s="241" t="n">
        <x:f>IF(COUNT(D11:O11)=12,SUM(D11:O11),"")</x:f>
        <x:v>-285833.3333333333</x:v>
      </x:c>
    </x:row>
    <x:row r="12" ht="34" customHeight="1">
      <x:c r="A12"/>
      <x:c r="B12" s="247" t="str">
        <x:v>Operating profit</x:v>
      </x:c>
      <x:c r="C12" s="248" t="str">
        <x:v>Loss remains. Conditional actions need approval</x:v>
      </x:c>
      <x:c r="D12" s="241" t="n">
        <x:f>IF(AND(ISNUMBER(D9),ISNUMBER(D11)),SUM(D9,D11),"")</x:f>
        <x:v>-7355</x:v>
      </x:c>
      <x:c r="E12" s="241" t="n">
        <x:f>IF(AND(ISNUMBER(E9),ISNUMBER(E11)),SUM(E9,E11),"")</x:f>
        <x:v>-1105.9375</x:v>
      </x:c>
      <x:c r="F12" s="241" t="n">
        <x:f>IF(AND(ISNUMBER(F9),ISNUMBER(F11)),SUM(F9,F11),"")</x:f>
        <x:v>737.1875</x:v>
      </x:c>
      <x:c r="G12" s="241" t="n">
        <x:f>IF(AND(ISNUMBER(G9),ISNUMBER(G11)),SUM(G9,G11),"")</x:f>
        <x:v>6008.71875</x:v>
      </x:c>
      <x:c r="H12" s="241" t="n">
        <x:f>IF(AND(ISNUMBER(H9),ISNUMBER(H11)),SUM(H9,H11),"")</x:f>
        <x:v>-1496.3541666666679</x:v>
      </x:c>
      <x:c r="I12" s="241" t="n">
        <x:f>IF(AND(ISNUMBER(I9),ISNUMBER(I11)),SUM(I9,I11),"")</x:f>
        <x:v>-4393.229166666668</x:v>
      </x:c>
      <x:c r="J12" s="241" t="n">
        <x:f>IF(AND(ISNUMBER(J9),ISNUMBER(J11)),SUM(J9,J11),"")</x:f>
        <x:v>-14214.572916666668</x:v>
      </x:c>
      <x:c r="K12" s="241" t="n">
        <x:f>IF(AND(ISNUMBER(K9),ISNUMBER(K11)),SUM(K9,K11),"")</x:f>
        <x:v>-8031.979166666668</x:v>
      </x:c>
      <x:c r="L12" s="241" t="n">
        <x:f>IF(AND(ISNUMBER(L9),ISNUMBER(L11)),SUM(L9,L11),"")</x:f>
        <x:v>4347.395833333332</x:v>
      </x:c>
      <x:c r="M12" s="241" t="n">
        <x:f>IF(AND(ISNUMBER(M9),ISNUMBER(M11)),SUM(M9,M11),"")</x:f>
        <x:v>7839.214583333331</x:v>
      </x:c>
      <x:c r="N12" s="241" t="n">
        <x:f>IF(AND(ISNUMBER(N9),ISNUMBER(N11)),SUM(N9,N11),"")</x:f>
        <x:v>-3089.291666666668</x:v>
      </x:c>
      <x:c r="O12" s="241" t="n">
        <x:f>IF(AND(ISNUMBER(O9),ISNUMBER(O11)),SUM(O9,O11),"")</x:f>
        <x:v>1008.0208333333321</x:v>
      </x:c>
      <x:c r="P12" s="241" t="n">
        <x:f>IF(COUNT(D12:O12)=12,SUM(D12:O12),"")</x:f>
        <x:v>-19745.827083333344</x:v>
      </x:c>
    </x:row>
    <x:row r="13" ht="34" customHeight="1">
      <x:c r="A13"/>
      <x:c r="B13" s="247" t="str">
        <x:v>Operating margin</x:v>
      </x:c>
      <x:c r="C13" s="248" t="str">
        <x:v>Operating profit / revenue</x:v>
      </x:c>
      <x:c r="D13" s="242" t="n">
        <x:f>IF(AND(ISNUMBER(D12),D7&lt;&gt;0),D12/D7,"")</x:f>
        <x:v>-0.18479899497487437</x:v>
      </x:c>
      <x:c r="E13" s="242" t="n">
        <x:f>IF(AND(ISNUMBER(E12),E7&lt;&gt;0),E12/E7,"")</x:f>
        <x:v>-0.022755915637860082</x:v>
      </x:c>
      <x:c r="F13" s="242" t="n">
        <x:f>IF(AND(ISNUMBER(F12),F7&lt;&gt;0),F12/F7,"")</x:f>
        <x:v>0.01914772727272727</x:v>
      </x:c>
      <x:c r="G13" s="242" t="n">
        <x:f>IF(AND(ISNUMBER(G12),G7&lt;&gt;0),G12/G7,"")</x:f>
        <x:v>0.12703422304439746</x:v>
      </x:c>
      <x:c r="H13" s="242" t="n">
        <x:f>IF(AND(ISNUMBER(H12),H7&lt;&gt;0),H12/H7,"")</x:f>
        <x:v>-0.041797602420856644</x:v>
      </x:c>
      <x:c r="I13" s="242" t="n">
        <x:f>IF(AND(ISNUMBER(I12),I7&lt;&gt;0),I12/I7,"")</x:f>
        <x:v>-0.1525426793981482</x:v>
      </x:c>
      <x:c r="J13" s="242" t="n">
        <x:f>IF(AND(ISNUMBER(J12),J7&lt;&gt;0),J12/J7,"")</x:f>
        <x:v>-1.2097508865248228</x:v>
      </x:c>
      <x:c r="K13" s="242" t="n">
        <x:f>IF(AND(ISNUMBER(K12),K7&lt;&gt;0),K12/K7,"")</x:f>
        <x:v>-0.28182383040935677</x:v>
      </x:c>
      <x:c r="L13" s="242" t="n">
        <x:f>IF(AND(ISNUMBER(L12),L7&lt;&gt;0),L12/L7,"")</x:f>
        <x:v>0.08249327956989246</x:v>
      </x:c>
      <x:c r="M13" s="242" t="n">
        <x:f>IF(AND(ISNUMBER(M12),M7&lt;&gt;0),M12/M7,"")</x:f>
        <x:v>0.13400366809116804</x:v>
      </x:c>
      <x:c r="N13" s="242" t="n">
        <x:f>IF(AND(ISNUMBER(N12),N7&lt;&gt;0),N12/N7,"")</x:f>
        <x:v>-0.09139916173570023</x:v>
      </x:c>
      <x:c r="O13" s="242" t="n">
        <x:f>IF(AND(ISNUMBER(O12),O7&lt;&gt;0),O12/O7,"")</x:f>
        <x:v>0.025846688034188003</x:v>
      </x:c>
      <x:c r="P13" s="242" t="n">
        <x:f>IF(AND(ISNUMBER(P12),P7&lt;&gt;0),P12/P7,"")</x:f>
        <x:v>-0.042642969621711144</x:v>
      </x:c>
    </x:row>
    <x:row r="14" ht="34" customHeight="1">
      <x:c r="A14"/>
      <x:c r="B14" s="247" t="str">
        <x:v>Lead trainer days required</x:v>
      </x:c>
      <x:c r="C14" s="248" t="str">
        <x:v>All existing and incremental delivery days</x:v>
      </x:c>
      <x:c r="D14" s="243" t="n">
        <x:f>'16 P2 Workings'!D28</x:f>
        <x:v>15.8</x:v>
      </x:c>
      <x:c r="E14" s="243" t="n">
        <x:f>'16 P2 Workings'!E28</x:f>
        <x:v>16</x:v>
      </x:c>
      <x:c r="F14" s="243" t="n">
        <x:f>'16 P2 Workings'!F28</x:f>
        <x:v>14.6</x:v>
      </x:c>
      <x:c r="G14" s="243" t="n">
        <x:f>'16 P2 Workings'!G28</x:f>
        <x:v>15.98</x:v>
      </x:c>
      <x:c r="H14" s="243" t="n">
        <x:f>'16 P2 Workings'!H28</x:f>
        <x:v>13.2</x:v>
      </x:c>
      <x:c r="I14" s="243" t="n">
        <x:f>'16 P2 Workings'!I28</x:f>
        <x:v>7.800000000000001</x:v>
      </x:c>
      <x:c r="J14" s="243" t="n">
        <x:f>'16 P2 Workings'!J28</x:f>
        <x:v>4.7</x:v>
      </x:c>
      <x:c r="K14" s="243" t="n">
        <x:f>'16 P2 Workings'!K28</x:f>
        <x:v>12</x:v>
      </x:c>
      <x:c r="L14" s="243" t="n">
        <x:f>'16 P2 Workings'!L28</x:f>
        <x:v>17</x:v>
      </x:c>
      <x:c r="M14" s="243" t="n">
        <x:f>'16 P2 Workings'!M28</x:f>
        <x:v>21.22</x:v>
      </x:c>
      <x:c r="N14" s="243" t="n">
        <x:f>'16 P2 Workings'!N28</x:f>
        <x:v>9.879999999999999</x:v>
      </x:c>
      <x:c r="O14" s="243" t="n">
        <x:f>'16 P2 Workings'!O28</x:f>
        <x:v>14</x:v>
      </x:c>
      <x:c r="P14" s="244" t="n">
        <x:f>IF(COUNT(D14:O14)=12,SUM(D14:O14),"")</x:f>
        <x:v>162.18</x:v>
      </x:c>
    </x:row>
    <x:row r="15" ht="34" customHeight="1">
      <x:c r="A15"/>
      <x:c r="B15" s="249" t="str">
        <x:v>Open seats sold</x:v>
      </x:c>
      <x:c r="C15" s="250" t="str">
        <x:v>Part 1 seats plus 55 incremental seats</x:v>
      </x:c>
      <x:c r="D15" s="245" t="n">
        <x:f>'16 P2 Workings'!D45</x:f>
        <x:v>14</x:v>
      </x:c>
      <x:c r="E15" s="245" t="n">
        <x:f>'16 P2 Workings'!E45</x:f>
        <x:v>14</x:v>
      </x:c>
      <x:c r="F15" s="245" t="n">
        <x:f>'16 P2 Workings'!F45</x:f>
        <x:v>14</x:v>
      </x:c>
      <x:c r="G15" s="245" t="n">
        <x:f>'16 P2 Workings'!G45</x:f>
        <x:v>13</x:v>
      </x:c>
      <x:c r="H15" s="245" t="n">
        <x:f>'16 P2 Workings'!H45</x:f>
        <x:v>13</x:v>
      </x:c>
      <x:c r="I15" s="245" t="n">
        <x:f>'16 P2 Workings'!I45</x:f>
        <x:v>13</x:v>
      </x:c>
      <x:c r="J15" s="245" t="n">
        <x:f>'16 P2 Workings'!J45</x:f>
        <x:v>0</x:v>
      </x:c>
      <x:c r="K15" s="245" t="n">
        <x:f>'16 P2 Workings'!K45</x:f>
        <x:v>5</x:v>
      </x:c>
      <x:c r="L15" s="245" t="n">
        <x:f>'16 P2 Workings'!L45</x:f>
        <x:v>8</x:v>
      </x:c>
      <x:c r="M15" s="245" t="n">
        <x:f>'16 P2 Workings'!M45</x:f>
        <x:v>17</x:v>
      </x:c>
      <x:c r="N15" s="245" t="n">
        <x:f>'16 P2 Workings'!N45</x:f>
        <x:v>19</x:v>
      </x:c>
      <x:c r="O15" s="245" t="n">
        <x:f>'16 P2 Workings'!O45</x:f>
        <x:v>15</x:v>
      </x:c>
      <x:c r="P15" s="246" t="n">
        <x:f>IF(COUNT(D15:O15)=12,SUM(D15:O15),"")</x:f>
        <x:v>145</x:v>
      </x:c>
    </x:row>
    <x:row r="16">
      <x:c r="B16" s="103"/>
      <x:c r="C16" s="103"/>
      <x:c r="D16" s="103"/>
      <x:c r="E16" s="103"/>
      <x:c r="F16" s="103"/>
      <x:c r="G16" s="103"/>
      <x:c r="H16" s="103"/>
      <x:c r="I16" s="103"/>
      <x:c r="J16" s="103"/>
      <x:c r="K16" s="103"/>
      <x:c r="L16" s="103"/>
      <x:c r="M16" s="103"/>
      <x:c r="N16" s="103"/>
      <x:c r="O16" s="103"/>
      <x:c r="P16" s="103"/>
    </x:row>
    <x:row r="17" ht="24" customHeight="1">
      <x:c r="B17" s="107" t="str">
        <x:v>Yellow cells are your inputs or working formulas. Blue-grey cells calculate totals. Explain how sales, capacity and costs fit.</x:v>
      </x:c>
      <x:c r="C17" s="107"/>
      <x:c r="D17" s="107"/>
      <x:c r="E17" s="107"/>
      <x:c r="F17" s="107"/>
      <x:c r="G17" s="107"/>
      <x:c r="H17" s="107"/>
      <x:c r="I17" s="107"/>
      <x:c r="J17" s="107"/>
      <x:c r="K17" s="107"/>
      <x:c r="L17" s="107"/>
      <x:c r="M17" s="107"/>
      <x:c r="N17" s="107"/>
      <x:c r="O17" s="107"/>
      <x:c r="P17" s="107"/>
    </x:row>
    <x:row r="19">
      <x:c r="B19" t="str">
        <x:v>Elina Abdulmuslimova | ea25077</x:v>
      </x:c>
    </x:row>
    <x:row r="20">
      <x:c r="B20" t="str">
        <x:v>Expected portfolio days and contracts can be fractional. Execution requires whole dated bookings and confirmed clients.</x:v>
      </x:c>
    </x:row>
  </x:sheetData>
  <x:conditionalFormatting sqref="D12:P12">
    <x:cfRule type="cellIs" dxfId="1" priority="1" operator="lessThan">
      <x:formula>0</x:formula>
    </x:cfRule>
  </x:conditionalFormatting>
  <x:pageMargins left="0.7" right="0.7" top="0.75" bottom="0.75" header="0.3" footer="0.3"/>
</x:worksheet>
</file>

<file path=xl/worksheets/sheet14.xml><?xml version="1.0" encoding="utf-8"?>
<x:worksheet xmlns:x="http://schemas.openxmlformats.org/spreadsheetml/2006/main">
  <x:sheetPr>
    <x:tabColor rgb="FF183E4C"/>
  </x:sheetPr>
  <x:sheetViews>
    <x:sheetView showGridLines="0" workbookViewId="0"/>
  </x:sheetViews>
  <x:sheetFormatPr defaultRowHeight="15"/>
  <x:cols>
    <x:col min="1" max="1" width="2" hidden="0" customWidth="1"/>
    <x:col min="2" max="2" width="32" hidden="0" customWidth="1"/>
    <x:col min="3" max="3" width="28"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6" hidden="0" customWidth="1"/>
  </x:cols>
  <x:sheetData>
    <x:row r="2">
      <x:c r="B2" s="106" t="str">
        <x:v>Original draft and your two budgets</x:v>
      </x:c>
      <x:c r="C2" s="106"/>
      <x:c r="D2" s="106"/>
      <x:c r="E2" s="106"/>
      <x:c r="F2" s="106"/>
      <x:c r="G2" s="106"/>
      <x:c r="H2" s="106"/>
      <x:c r="I2" s="106"/>
      <x:c r="J2" s="106"/>
      <x:c r="K2" s="106"/>
      <x:c r="L2" s="106"/>
      <x:c r="M2" s="106"/>
      <x:c r="N2" s="106"/>
      <x:c r="O2" s="106"/>
      <x:c r="P2" s="106"/>
    </x:row>
    <x:row r="3">
      <x:c r="B3" s="107" t="str">
        <x:v>2026 monthly P&amp;L. EUR excluding VAT. Linked to sheets 08, 10 and 12.</x:v>
      </x:c>
      <x:c r="C3" s="107"/>
      <x:c r="D3" s="107"/>
      <x:c r="E3" s="107"/>
      <x:c r="F3" s="107"/>
      <x:c r="G3" s="107"/>
      <x:c r="H3" s="107"/>
      <x:c r="I3" s="107"/>
      <x:c r="J3" s="107"/>
      <x:c r="K3" s="107"/>
      <x:c r="L3" s="107"/>
      <x:c r="M3" s="107"/>
      <x:c r="N3" s="107"/>
      <x:c r="O3" s="107"/>
      <x:c r="P3" s="107"/>
    </x:row>
    <x:row r="4">
      <x:c r="B4" s="107"/>
      <x:c r="C4" s="107"/>
      <x:c r="D4" s="107"/>
      <x:c r="E4" s="107"/>
      <x:c r="F4" s="107"/>
      <x:c r="G4" s="107"/>
      <x:c r="H4" s="107"/>
      <x:c r="I4" s="107"/>
      <x:c r="J4" s="107"/>
      <x:c r="K4" s="107"/>
      <x:c r="L4" s="107"/>
      <x:c r="M4" s="107"/>
      <x:c r="N4" s="107"/>
      <x:c r="O4" s="107"/>
      <x:c r="P4" s="107"/>
    </x:row>
    <x:row r="5">
      <x:c r="B5" s="107" t="str">
        <x:v>Part 1 corrects the expected outcome with no new decisions. Part 2 shows the effects of your management decisions.</x:v>
      </x:c>
      <x:c r="C5" s="107"/>
      <x:c r="D5" s="107"/>
      <x:c r="E5" s="107"/>
      <x:c r="F5" s="107"/>
      <x:c r="G5" s="107"/>
      <x:c r="H5" s="107"/>
      <x:c r="I5" s="107"/>
      <x:c r="J5" s="107"/>
      <x:c r="K5" s="107"/>
      <x:c r="L5" s="107"/>
      <x:c r="M5" s="107"/>
      <x:c r="N5" s="107"/>
      <x:c r="O5" s="107"/>
      <x:c r="P5" s="107"/>
    </x:row>
    <x:row r="6">
      <x:c r="B6" s="109" t="str">
        <x:v>P&amp;L line</x:v>
      </x:c>
      <x:c r="C6" s="109" t="str">
        <x:v>Version</x:v>
      </x:c>
      <x:c r="D6" s="109" t="str">
        <x:v>Jan</x:v>
      </x:c>
      <x:c r="E6" s="109" t="str">
        <x:v>Feb</x:v>
      </x:c>
      <x:c r="F6" s="109" t="str">
        <x:v>Mar</x:v>
      </x:c>
      <x:c r="G6" s="109" t="str">
        <x:v>Apr</x:v>
      </x:c>
      <x:c r="H6" s="109" t="str">
        <x:v>May</x:v>
      </x:c>
      <x:c r="I6" s="109" t="str">
        <x:v>Jun</x:v>
      </x:c>
      <x:c r="J6" s="109" t="str">
        <x:v>Jul</x:v>
      </x:c>
      <x:c r="K6" s="109" t="str">
        <x:v>Aug</x:v>
      </x:c>
      <x:c r="L6" s="109" t="str">
        <x:v>Sep</x:v>
      </x:c>
      <x:c r="M6" s="109" t="str">
        <x:v>Oct</x:v>
      </x:c>
      <x:c r="N6" s="109" t="str">
        <x:v>Nov</x:v>
      </x:c>
      <x:c r="O6" s="109" t="str">
        <x:v>Dec</x:v>
      </x:c>
      <x:c r="P6" s="109" t="str">
        <x:v>FY Total</x:v>
      </x:c>
    </x:row>
    <x:row r="7" ht="24" customHeight="1">
      <x:c r="B7" s="143" t="str">
        <x:v>Revenue</x:v>
      </x:c>
      <x:c r="C7" s="157" t="str">
        <x:v>Original draft</x:v>
      </x:c>
      <x:c r="D7" s="146" t="n">
        <x:f>IF(ISNUMBER('08 Draft P&amp;L'!D7),'08 Draft P&amp;L'!D7,"")</x:f>
        <x:v>55500</x:v>
      </x:c>
      <x:c r="E7" s="146" t="n">
        <x:f>IF(ISNUMBER('08 Draft P&amp;L'!E7),'08 Draft P&amp;L'!E7,"")</x:f>
        <x:v>63000</x:v>
      </x:c>
      <x:c r="F7" s="146" t="n">
        <x:f>IF(ISNUMBER('08 Draft P&amp;L'!F7),'08 Draft P&amp;L'!F7,"")</x:f>
        <x:v>69500</x:v>
      </x:c>
      <x:c r="G7" s="146" t="n">
        <x:f>IF(ISNUMBER('08 Draft P&amp;L'!G7),'08 Draft P&amp;L'!G7,"")</x:f>
        <x:v>80500</x:v>
      </x:c>
      <x:c r="H7" s="146" t="n">
        <x:f>IF(ISNUMBER('08 Draft P&amp;L'!H7),'08 Draft P&amp;L'!H7,"")</x:f>
        <x:v>68000</x:v>
      </x:c>
      <x:c r="I7" s="146" t="n">
        <x:f>IF(ISNUMBER('08 Draft P&amp;L'!I7),'08 Draft P&amp;L'!I7,"")</x:f>
        <x:v>73500</x:v>
      </x:c>
      <x:c r="J7" s="146" t="n">
        <x:f>IF(ISNUMBER('08 Draft P&amp;L'!J7),'08 Draft P&amp;L'!J7,"")</x:f>
        <x:v>60000</x:v>
      </x:c>
      <x:c r="K7" s="146" t="n">
        <x:f>IF(ISNUMBER('08 Draft P&amp;L'!K7),'08 Draft P&amp;L'!K7,"")</x:f>
        <x:v>91500</x:v>
      </x:c>
      <x:c r="L7" s="146" t="n">
        <x:f>IF(ISNUMBER('08 Draft P&amp;L'!L7),'08 Draft P&amp;L'!L7,"")</x:f>
        <x:v>113500</x:v>
      </x:c>
      <x:c r="M7" s="146" t="n">
        <x:f>IF(ISNUMBER('08 Draft P&amp;L'!M7),'08 Draft P&amp;L'!M7,"")</x:f>
        <x:v>124000</x:v>
      </x:c>
      <x:c r="N7" s="146" t="n">
        <x:f>IF(ISNUMBER('08 Draft P&amp;L'!N7),'08 Draft P&amp;L'!N7,"")</x:f>
        <x:v>103500</x:v>
      </x:c>
      <x:c r="O7" s="146" t="n">
        <x:f>IF(ISNUMBER('08 Draft P&amp;L'!O7),'08 Draft P&amp;L'!O7,"")</x:f>
        <x:v>87000</x:v>
      </x:c>
      <x:c r="P7" s="151" t="n">
        <x:f>IF(ISNUMBER('08 Draft P&amp;L'!P7),'08 Draft P&amp;L'!P7,"")</x:f>
        <x:v>989500</x:v>
      </x:c>
    </x:row>
    <x:row r="8" ht="24" customHeight="1">
      <x:c r="B8" s="144"/>
      <x:c r="C8" s="158" t="str">
        <x:v>Part 1 Red-pencil correction</x:v>
      </x:c>
      <x:c r="D8" s="147" t="n">
        <x:f>IF(ISNUMBER('10 Corrected Budget'!D7),'10 Corrected Budget'!D7,"")</x:f>
        <x:v>39800</x:v>
      </x:c>
      <x:c r="E8" s="147" t="n">
        <x:f>IF(ISNUMBER('10 Corrected Budget'!E7),'10 Corrected Budget'!E7,"")</x:f>
        <x:v>40200</x:v>
      </x:c>
      <x:c r="F8" s="147" t="n">
        <x:f>IF(ISNUMBER('10 Corrected Budget'!F7),'10 Corrected Budget'!F7,"")</x:f>
        <x:v>34500</x:v>
      </x:c>
      <x:c r="G8" s="147" t="n">
        <x:f>IF(ISNUMBER('10 Corrected Budget'!G7),'10 Corrected Budget'!G7,"")</x:f>
        <x:v>32500</x:v>
      </x:c>
      <x:c r="H8" s="147" t="n">
        <x:f>IF(ISNUMBER('10 Corrected Budget'!H7),'10 Corrected Budget'!H7,"")</x:f>
        <x:v>32800</x:v>
      </x:c>
      <x:c r="I8" s="147" t="n">
        <x:f>IF(ISNUMBER('10 Corrected Budget'!I7),'10 Corrected Budget'!I7,"")</x:f>
        <x:v>20000</x:v>
      </x:c>
      <x:c r="J8" s="147" t="n">
        <x:f>IF(ISNUMBER('10 Corrected Budget'!J7),'10 Corrected Budget'!J7,"")</x:f>
        <x:v>11250</x:v>
      </x:c>
      <x:c r="K8" s="147" t="n">
        <x:f>IF(ISNUMBER('10 Corrected Budget'!K7),'10 Corrected Budget'!K7,"")</x:f>
        <x:v>28500</x:v>
      </x:c>
      <x:c r="L8" s="147" t="n">
        <x:f>IF(ISNUMBER('10 Corrected Budget'!L7),'10 Corrected Budget'!L7,"")</x:f>
        <x:v>52700</x:v>
      </x:c>
      <x:c r="M8" s="147" t="n">
        <x:f>IF(ISNUMBER('10 Corrected Budget'!M7),'10 Corrected Budget'!M7,"")</x:f>
        <x:v>58500</x:v>
      </x:c>
      <x:c r="N8" s="147" t="n">
        <x:f>IF(ISNUMBER('10 Corrected Budget'!N7),'10 Corrected Budget'!N7,"")</x:f>
        <x:v>33800</x:v>
      </x:c>
      <x:c r="O8" s="147" t="n">
        <x:f>IF(ISNUMBER('10 Corrected Budget'!O7),'10 Corrected Budget'!O7,"")</x:f>
        <x:v>30000</x:v>
      </x:c>
      <x:c r="P8" s="153" t="n">
        <x:f>IF(ISNUMBER('10 Corrected Budget'!P7),'10 Corrected Budget'!P7,"")</x:f>
        <x:v>414550</x:v>
      </x:c>
    </x:row>
    <x:row r="9" ht="24" customHeight="1">
      <x:c r="B9" s="145"/>
      <x:c r="C9" s="159" t="str">
        <x:v>Part 2 Management plan</x:v>
      </x:c>
      <x:c r="D9" s="148" t="n">
        <x:f>IF(ISNUMBER('12 Management Budget'!D7),'12 Management Budget'!D7,"")</x:f>
        <x:v>39800</x:v>
      </x:c>
      <x:c r="E9" s="148" t="n">
        <x:f>IF(ISNUMBER('12 Management Budget'!E7),'12 Management Budget'!E7,"")</x:f>
        <x:v>48600</x:v>
      </x:c>
      <x:c r="F9" s="148" t="n">
        <x:f>IF(ISNUMBER('12 Management Budget'!F7),'12 Management Budget'!F7,"")</x:f>
        <x:v>38500</x:v>
      </x:c>
      <x:c r="G9" s="148" t="n">
        <x:f>IF(ISNUMBER('12 Management Budget'!G7),'12 Management Budget'!G7,"")</x:f>
        <x:v>47300</x:v>
      </x:c>
      <x:c r="H9" s="148" t="n">
        <x:f>IF(ISNUMBER('12 Management Budget'!H7),'12 Management Budget'!H7,"")</x:f>
        <x:v>35800</x:v>
      </x:c>
      <x:c r="I9" s="148" t="n">
        <x:f>IF(ISNUMBER('12 Management Budget'!I7),'12 Management Budget'!I7,"")</x:f>
        <x:v>28800</x:v>
      </x:c>
      <x:c r="J9" s="148" t="n">
        <x:f>IF(ISNUMBER('12 Management Budget'!J7),'12 Management Budget'!J7,"")</x:f>
        <x:v>11750</x:v>
      </x:c>
      <x:c r="K9" s="148" t="n">
        <x:f>IF(ISNUMBER('12 Management Budget'!K7),'12 Management Budget'!K7,"")</x:f>
        <x:v>28500</x:v>
      </x:c>
      <x:c r="L9" s="148" t="n">
        <x:f>IF(ISNUMBER('12 Management Budget'!L7),'12 Management Budget'!L7,"")</x:f>
        <x:v>52700</x:v>
      </x:c>
      <x:c r="M9" s="148" t="n">
        <x:f>IF(ISNUMBER('12 Management Budget'!M7),'12 Management Budget'!M7,"")</x:f>
        <x:v>58500</x:v>
      </x:c>
      <x:c r="N9" s="148" t="n">
        <x:f>IF(ISNUMBER('12 Management Budget'!N7),'12 Management Budget'!N7,"")</x:f>
        <x:v>33800</x:v>
      </x:c>
      <x:c r="O9" s="148" t="n">
        <x:f>IF(ISNUMBER('12 Management Budget'!O7),'12 Management Budget'!O7,"")</x:f>
        <x:v>39000</x:v>
      </x:c>
      <x:c r="P9" s="155" t="n">
        <x:f>IF(ISNUMBER('12 Management Budget'!P7),'12 Management Budget'!P7,"")</x:f>
        <x:v>463050</x:v>
      </x:c>
    </x:row>
    <x:row r="10" ht="24" customHeight="1">
      <x:c r="B10" s="103"/>
      <x:c r="C10" s="104"/>
      <x:c r="D10" s="149"/>
      <x:c r="E10" s="149"/>
      <x:c r="F10" s="149"/>
      <x:c r="G10" s="149"/>
      <x:c r="H10" s="149"/>
      <x:c r="I10" s="149"/>
      <x:c r="J10" s="149"/>
      <x:c r="K10" s="149"/>
      <x:c r="L10" s="149"/>
      <x:c r="M10" s="149"/>
      <x:c r="N10" s="149"/>
      <x:c r="O10" s="149"/>
      <x:c r="P10" s="156"/>
    </x:row>
    <x:row r="11" ht="24" customHeight="1">
      <x:c r="B11" s="143" t="str">
        <x:v>Direct delivery costs</x:v>
      </x:c>
      <x:c r="C11" s="157" t="str">
        <x:v>Original draft</x:v>
      </x:c>
      <x:c r="D11" s="146" t="n">
        <x:f>IF(ISNUMBER('08 Draft P&amp;L'!D8),'08 Draft P&amp;L'!D8,"")</x:f>
        <x:v>-4000</x:v>
      </x:c>
      <x:c r="E11" s="146" t="n">
        <x:f>IF(ISNUMBER('08 Draft P&amp;L'!E8),'08 Draft P&amp;L'!E8,"")</x:f>
        <x:v>-5955</x:v>
      </x:c>
      <x:c r="F11" s="146" t="n">
        <x:f>IF(ISNUMBER('08 Draft P&amp;L'!F8),'08 Draft P&amp;L'!F8,"")</x:f>
        <x:v>-6250</x:v>
      </x:c>
      <x:c r="G11" s="146" t="n">
        <x:f>IF(ISNUMBER('08 Draft P&amp;L'!G8),'08 Draft P&amp;L'!G8,"")</x:f>
        <x:v>-6152.5</x:v>
      </x:c>
      <x:c r="H11" s="146" t="n">
        <x:f>IF(ISNUMBER('08 Draft P&amp;L'!H8),'08 Draft P&amp;L'!H8,"")</x:f>
        <x:v>-4805</x:v>
      </x:c>
      <x:c r="I11" s="146" t="n">
        <x:f>IF(ISNUMBER('08 Draft P&amp;L'!I8),'08 Draft P&amp;L'!I8,"")</x:f>
        <x:v>-8025</x:v>
      </x:c>
      <x:c r="J11" s="146" t="n">
        <x:f>IF(ISNUMBER('08 Draft P&amp;L'!J8),'08 Draft P&amp;L'!J8,"")</x:f>
        <x:v>-1125</x:v>
      </x:c>
      <x:c r="K11" s="146" t="n">
        <x:f>IF(ISNUMBER('08 Draft P&amp;L'!K8),'08 Draft P&amp;L'!K8,"")</x:f>
        <x:v>-4550</x:v>
      </x:c>
      <x:c r="L11" s="146" t="n">
        <x:f>IF(ISNUMBER('08 Draft P&amp;L'!L8),'08 Draft P&amp;L'!L8,"")</x:f>
        <x:v>-13770</x:v>
      </x:c>
      <x:c r="M11" s="146" t="n">
        <x:f>IF(ISNUMBER('08 Draft P&amp;L'!M8),'08 Draft P&amp;L'!M8,"")</x:f>
        <x:v>-8497.5</x:v>
      </x:c>
      <x:c r="N11" s="146" t="n">
        <x:f>IF(ISNUMBER('08 Draft P&amp;L'!N8),'08 Draft P&amp;L'!N8,"")</x:f>
        <x:v>-10240</x:v>
      </x:c>
      <x:c r="O11" s="146" t="n">
        <x:f>IF(ISNUMBER('08 Draft P&amp;L'!O8),'08 Draft P&amp;L'!O8,"")</x:f>
        <x:v>-3825</x:v>
      </x:c>
      <x:c r="P11" s="151" t="n">
        <x:f>IF(ISNUMBER('08 Draft P&amp;L'!P8),'08 Draft P&amp;L'!P8,"")</x:f>
        <x:v>-77195</x:v>
      </x:c>
    </x:row>
    <x:row r="12" ht="24" customHeight="1">
      <x:c r="B12" s="144"/>
      <x:c r="C12" s="158" t="str">
        <x:v>Part 1 Red-pencil correction</x:v>
      </x:c>
      <x:c r="D12" s="147" t="n">
        <x:f>IF(ISNUMBER('10 Corrected Budget'!D8),'10 Corrected Budget'!D8,"")</x:f>
        <x:v>-21280</x:v>
      </x:c>
      <x:c r="E12" s="147" t="n">
        <x:f>IF(ISNUMBER('10 Corrected Budget'!E8),'10 Corrected Budget'!E8,"")</x:f>
        <x:v>-20890.9375</x:v>
      </x:c>
      <x:c r="F12" s="147" t="n">
        <x:f>IF(ISNUMBER('10 Corrected Budget'!F8),'10 Corrected Budget'!F8,"")</x:f>
        <x:v>-18140.3125</x:v>
      </x:c>
      <x:c r="G12" s="147" t="n">
        <x:f>IF(ISNUMBER('10 Corrected Budget'!G8),'10 Corrected Budget'!G8,"")</x:f>
        <x:v>-17259.40625</x:v>
      </x:c>
      <x:c r="H12" s="147" t="n">
        <x:f>IF(ISNUMBER('10 Corrected Budget'!H8),'10 Corrected Budget'!H8,"")</x:f>
        <x:v>-16725.3125</x:v>
      </x:c>
      <x:c r="I12" s="147" t="n">
        <x:f>IF(ISNUMBER('10 Corrected Budget'!I8),'10 Corrected Budget'!I8,"")</x:f>
        <x:v>-9925.9375</x:v>
      </x:c>
      <x:c r="J12" s="147" t="n">
        <x:f>IF(ISNUMBER('10 Corrected Budget'!J8),'10 Corrected Budget'!J8,"")</x:f>
        <x:v>-6192.34375</x:v>
      </x:c>
      <x:c r="K12" s="147" t="n">
        <x:f>IF(ISNUMBER('10 Corrected Budget'!K8),'10 Corrected Budget'!K8,"")</x:f>
        <x:v>-17235.3125</x:v>
      </x:c>
      <x:c r="L12" s="147" t="n">
        <x:f>IF(ISNUMBER('10 Corrected Budget'!L8),'10 Corrected Budget'!L8,"")</x:f>
        <x:v>-29280.9375</x:v>
      </x:c>
      <x:c r="M12" s="147" t="n">
        <x:f>IF(ISNUMBER('10 Corrected Budget'!M8),'10 Corrected Budget'!M8,"")</x:f>
        <x:v>-31859.11875</x:v>
      </x:c>
      <x:c r="N12" s="147" t="n">
        <x:f>IF(ISNUMBER('10 Corrected Budget'!N8),'10 Corrected Budget'!N8,"")</x:f>
        <x:v>-17602.725</x:v>
      </x:c>
      <x:c r="O12" s="147" t="n">
        <x:f>IF(ISNUMBER('10 Corrected Budget'!O8),'10 Corrected Budget'!O8,"")</x:f>
        <x:v>-16885.3125</x:v>
      </x:c>
      <x:c r="P12" s="153" t="n">
        <x:f>IF(ISNUMBER('10 Corrected Budget'!P8),'10 Corrected Budget'!P8,"")</x:f>
        <x:v>-223277.65625</x:v>
      </x:c>
    </x:row>
    <x:row r="13" ht="24" customHeight="1">
      <x:c r="B13" s="145"/>
      <x:c r="C13" s="159" t="str">
        <x:v>Part 2 Management plan</x:v>
      </x:c>
      <x:c r="D13" s="148" t="n">
        <x:f>IF(ISNUMBER('12 Management Budget'!D8),'12 Management Budget'!D8,"")</x:f>
        <x:v>-21280</x:v>
      </x:c>
      <x:c r="E13" s="148" t="n">
        <x:f>IF(ISNUMBER('12 Management Budget'!E8),'12 Management Budget'!E8,"")</x:f>
        <x:v>-24330.9375</x:v>
      </x:c>
      <x:c r="F13" s="148" t="n">
        <x:f>IF(ISNUMBER('12 Management Budget'!F8),'12 Management Budget'!F8,"")</x:f>
        <x:v>-15637.8125</x:v>
      </x:c>
      <x:c r="G13" s="148" t="n">
        <x:f>IF(ISNUMBER('12 Management Budget'!G8),'12 Management Budget'!G8,"")</x:f>
        <x:v>-19666.28125</x:v>
      </x:c>
      <x:c r="H13" s="148" t="n">
        <x:f>IF(ISNUMBER('12 Management Budget'!H8),'12 Management Budget'!H8,"")</x:f>
        <x:v>-13504.6875</x:v>
      </x:c>
      <x:c r="I13" s="148" t="n">
        <x:f>IF(ISNUMBER('12 Management Budget'!I8),'12 Management Budget'!I8,"")</x:f>
        <x:v>-9901.5625</x:v>
      </x:c>
      <x:c r="J13" s="148" t="n">
        <x:f>IF(ISNUMBER('12 Management Budget'!J8),'12 Management Budget'!J8,"")</x:f>
        <x:v>-4172.90625</x:v>
      </x:c>
      <x:c r="K13" s="148" t="n">
        <x:f>IF(ISNUMBER('12 Management Budget'!K8),'12 Management Budget'!K8,"")</x:f>
        <x:v>-13740.3125</x:v>
      </x:c>
      <x:c r="L13" s="148" t="n">
        <x:f>IF(ISNUMBER('12 Management Budget'!L8),'12 Management Budget'!L8,"")</x:f>
        <x:v>-23060.9375</x:v>
      </x:c>
      <x:c r="M13" s="148" t="n">
        <x:f>IF(ISNUMBER('12 Management Budget'!M8),'12 Management Budget'!M8,"")</x:f>
        <x:v>-24869.11875</x:v>
      </x:c>
      <x:c r="N13" s="148" t="n">
        <x:f>IF(ISNUMBER('12 Management Budget'!N8),'12 Management Budget'!N8,"")</x:f>
        <x:v>-12097.624999999998</x:v>
      </x:c>
      <x:c r="O13" s="148" t="n">
        <x:f>IF(ISNUMBER('12 Management Budget'!O8),'12 Management Budget'!O8,"")</x:f>
        <x:v>-14700.3125</x:v>
      </x:c>
      <x:c r="P13" s="155" t="n">
        <x:f>IF(ISNUMBER('12 Management Budget'!P8),'12 Management Budget'!P8,"")</x:f>
        <x:v>-196962.49375</x:v>
      </x:c>
    </x:row>
    <x:row r="14" ht="24" customHeight="1">
      <x:c r="B14" s="103"/>
      <x:c r="C14" s="104"/>
      <x:c r="D14" s="149"/>
      <x:c r="E14" s="149"/>
      <x:c r="F14" s="149"/>
      <x:c r="G14" s="149"/>
      <x:c r="H14" s="149"/>
      <x:c r="I14" s="149"/>
      <x:c r="J14" s="149"/>
      <x:c r="K14" s="149"/>
      <x:c r="L14" s="149"/>
      <x:c r="M14" s="149"/>
      <x:c r="N14" s="149"/>
      <x:c r="O14" s="149"/>
      <x:c r="P14" s="156"/>
    </x:row>
    <x:row r="15" ht="24" customHeight="1">
      <x:c r="B15" s="143" t="str">
        <x:v>Contribution</x:v>
      </x:c>
      <x:c r="C15" s="157" t="str">
        <x:v>Original draft</x:v>
      </x:c>
      <x:c r="D15" s="146" t="n">
        <x:f>IF(ISNUMBER('08 Draft P&amp;L'!D9),'08 Draft P&amp;L'!D9,"")</x:f>
        <x:v>51500</x:v>
      </x:c>
      <x:c r="E15" s="146" t="n">
        <x:f>IF(ISNUMBER('08 Draft P&amp;L'!E9),'08 Draft P&amp;L'!E9,"")</x:f>
        <x:v>57045</x:v>
      </x:c>
      <x:c r="F15" s="146" t="n">
        <x:f>IF(ISNUMBER('08 Draft P&amp;L'!F9),'08 Draft P&amp;L'!F9,"")</x:f>
        <x:v>63250</x:v>
      </x:c>
      <x:c r="G15" s="146" t="n">
        <x:f>IF(ISNUMBER('08 Draft P&amp;L'!G9),'08 Draft P&amp;L'!G9,"")</x:f>
        <x:v>74347.5</x:v>
      </x:c>
      <x:c r="H15" s="146" t="n">
        <x:f>IF(ISNUMBER('08 Draft P&amp;L'!H9),'08 Draft P&amp;L'!H9,"")</x:f>
        <x:v>63195</x:v>
      </x:c>
      <x:c r="I15" s="146" t="n">
        <x:f>IF(ISNUMBER('08 Draft P&amp;L'!I9),'08 Draft P&amp;L'!I9,"")</x:f>
        <x:v>65475</x:v>
      </x:c>
      <x:c r="J15" s="146" t="n">
        <x:f>IF(ISNUMBER('08 Draft P&amp;L'!J9),'08 Draft P&amp;L'!J9,"")</x:f>
        <x:v>58875</x:v>
      </x:c>
      <x:c r="K15" s="146" t="n">
        <x:f>IF(ISNUMBER('08 Draft P&amp;L'!K9),'08 Draft P&amp;L'!K9,"")</x:f>
        <x:v>86950</x:v>
      </x:c>
      <x:c r="L15" s="146" t="n">
        <x:f>IF(ISNUMBER('08 Draft P&amp;L'!L9),'08 Draft P&amp;L'!L9,"")</x:f>
        <x:v>99730</x:v>
      </x:c>
      <x:c r="M15" s="146" t="n">
        <x:f>IF(ISNUMBER('08 Draft P&amp;L'!M9),'08 Draft P&amp;L'!M9,"")</x:f>
        <x:v>115502.5</x:v>
      </x:c>
      <x:c r="N15" s="146" t="n">
        <x:f>IF(ISNUMBER('08 Draft P&amp;L'!N9),'08 Draft P&amp;L'!N9,"")</x:f>
        <x:v>93260</x:v>
      </x:c>
      <x:c r="O15" s="146" t="n">
        <x:f>IF(ISNUMBER('08 Draft P&amp;L'!O9),'08 Draft P&amp;L'!O9,"")</x:f>
        <x:v>83175</x:v>
      </x:c>
      <x:c r="P15" s="151" t="n">
        <x:f>IF(ISNUMBER('08 Draft P&amp;L'!P9),'08 Draft P&amp;L'!P9,"")</x:f>
        <x:v>912305</x:v>
      </x:c>
    </x:row>
    <x:row r="16" ht="24" customHeight="1">
      <x:c r="B16" s="144"/>
      <x:c r="C16" s="158" t="str">
        <x:v>Part 1 Red-pencil correction</x:v>
      </x:c>
      <x:c r="D16" s="147" t="n">
        <x:f>IF(ISNUMBER('10 Corrected Budget'!D9),'10 Corrected Budget'!D9,"")</x:f>
        <x:v>18520</x:v>
      </x:c>
      <x:c r="E16" s="147" t="n">
        <x:f>IF(ISNUMBER('10 Corrected Budget'!E9),'10 Corrected Budget'!E9,"")</x:f>
        <x:v>19309.0625</x:v>
      </x:c>
      <x:c r="F16" s="147" t="n">
        <x:f>IF(ISNUMBER('10 Corrected Budget'!F9),'10 Corrected Budget'!F9,"")</x:f>
        <x:v>16359.6875</x:v>
      </x:c>
      <x:c r="G16" s="147" t="n">
        <x:f>IF(ISNUMBER('10 Corrected Budget'!G9),'10 Corrected Budget'!G9,"")</x:f>
        <x:v>15240.59375</x:v>
      </x:c>
      <x:c r="H16" s="147" t="n">
        <x:f>IF(ISNUMBER('10 Corrected Budget'!H9),'10 Corrected Budget'!H9,"")</x:f>
        <x:v>16074.6875</x:v>
      </x:c>
      <x:c r="I16" s="147" t="n">
        <x:f>IF(ISNUMBER('10 Corrected Budget'!I9),'10 Corrected Budget'!I9,"")</x:f>
        <x:v>10074.0625</x:v>
      </x:c>
      <x:c r="J16" s="147" t="n">
        <x:f>IF(ISNUMBER('10 Corrected Budget'!J9),'10 Corrected Budget'!J9,"")</x:f>
        <x:v>5057.65625</x:v>
      </x:c>
      <x:c r="K16" s="147" t="n">
        <x:f>IF(ISNUMBER('10 Corrected Budget'!K9),'10 Corrected Budget'!K9,"")</x:f>
        <x:v>11264.6875</x:v>
      </x:c>
      <x:c r="L16" s="147" t="n">
        <x:f>IF(ISNUMBER('10 Corrected Budget'!L9),'10 Corrected Budget'!L9,"")</x:f>
        <x:v>23419.0625</x:v>
      </x:c>
      <x:c r="M16" s="147" t="n">
        <x:f>IF(ISNUMBER('10 Corrected Budget'!M9),'10 Corrected Budget'!M9,"")</x:f>
        <x:v>26640.88125</x:v>
      </x:c>
      <x:c r="N16" s="147" t="n">
        <x:f>IF(ISNUMBER('10 Corrected Budget'!N9),'10 Corrected Budget'!N9,"")</x:f>
        <x:v>16197.275000000001</x:v>
      </x:c>
      <x:c r="O16" s="147" t="n">
        <x:f>IF(ISNUMBER('10 Corrected Budget'!O9),'10 Corrected Budget'!O9,"")</x:f>
        <x:v>13114.6875</x:v>
      </x:c>
      <x:c r="P16" s="153" t="n">
        <x:f>IF(ISNUMBER('10 Corrected Budget'!P9),'10 Corrected Budget'!P9,"")</x:f>
        <x:v>191272.34375</x:v>
      </x:c>
    </x:row>
    <x:row r="17" ht="24" customHeight="1">
      <x:c r="B17" s="145"/>
      <x:c r="C17" s="159" t="str">
        <x:v>Part 2 Management plan</x:v>
      </x:c>
      <x:c r="D17" s="148" t="n">
        <x:f>IF(ISNUMBER('12 Management Budget'!D9),'12 Management Budget'!D9,"")</x:f>
        <x:v>18520</x:v>
      </x:c>
      <x:c r="E17" s="148" t="n">
        <x:f>IF(ISNUMBER('12 Management Budget'!E9),'12 Management Budget'!E9,"")</x:f>
        <x:v>24269.0625</x:v>
      </x:c>
      <x:c r="F17" s="148" t="n">
        <x:f>IF(ISNUMBER('12 Management Budget'!F9),'12 Management Budget'!F9,"")</x:f>
        <x:v>22862.1875</x:v>
      </x:c>
      <x:c r="G17" s="148" t="n">
        <x:f>IF(ISNUMBER('12 Management Budget'!G9),'12 Management Budget'!G9,"")</x:f>
        <x:v>27633.71875</x:v>
      </x:c>
      <x:c r="H17" s="148" t="n">
        <x:f>IF(ISNUMBER('12 Management Budget'!H9),'12 Management Budget'!H9,"")</x:f>
        <x:v>22295.3125</x:v>
      </x:c>
      <x:c r="I17" s="148" t="n">
        <x:f>IF(ISNUMBER('12 Management Budget'!I9),'12 Management Budget'!I9,"")</x:f>
        <x:v>18898.4375</x:v>
      </x:c>
      <x:c r="J17" s="148" t="n">
        <x:f>IF(ISNUMBER('12 Management Budget'!J9),'12 Management Budget'!J9,"")</x:f>
        <x:v>7577.09375</x:v>
      </x:c>
      <x:c r="K17" s="148" t="n">
        <x:f>IF(ISNUMBER('12 Management Budget'!K9),'12 Management Budget'!K9,"")</x:f>
        <x:v>14759.6875</x:v>
      </x:c>
      <x:c r="L17" s="148" t="n">
        <x:f>IF(ISNUMBER('12 Management Budget'!L9),'12 Management Budget'!L9,"")</x:f>
        <x:v>29639.0625</x:v>
      </x:c>
      <x:c r="M17" s="148" t="n">
        <x:f>IF(ISNUMBER('12 Management Budget'!M9),'12 Management Budget'!M9,"")</x:f>
        <x:v>33630.88125</x:v>
      </x:c>
      <x:c r="N17" s="148" t="n">
        <x:f>IF(ISNUMBER('12 Management Budget'!N9),'12 Management Budget'!N9,"")</x:f>
        <x:v>21702.375</x:v>
      </x:c>
      <x:c r="O17" s="148" t="n">
        <x:f>IF(ISNUMBER('12 Management Budget'!O9),'12 Management Budget'!O9,"")</x:f>
        <x:v>24299.6875</x:v>
      </x:c>
      <x:c r="P17" s="155" t="n">
        <x:f>IF(ISNUMBER('12 Management Budget'!P9),'12 Management Budget'!P9,"")</x:f>
        <x:v>266087.50625</x:v>
      </x:c>
    </x:row>
    <x:row r="18" ht="24" customHeight="1">
      <x:c r="B18" s="103"/>
      <x:c r="C18" s="104"/>
      <x:c r="D18" s="149"/>
      <x:c r="E18" s="149"/>
      <x:c r="F18" s="149"/>
      <x:c r="G18" s="149"/>
      <x:c r="H18" s="149"/>
      <x:c r="I18" s="149"/>
      <x:c r="J18" s="149"/>
      <x:c r="K18" s="149"/>
      <x:c r="L18" s="149"/>
      <x:c r="M18" s="149"/>
      <x:c r="N18" s="149"/>
      <x:c r="O18" s="149"/>
      <x:c r="P18" s="156"/>
    </x:row>
    <x:row r="19" ht="24" customHeight="1">
      <x:c r="B19" s="143" t="str">
        <x:v>Operating expenses</x:v>
      </x:c>
      <x:c r="C19" s="157" t="str">
        <x:v>Original draft</x:v>
      </x:c>
      <x:c r="D19" s="146" t="n">
        <x:f>IF(ISNUMBER('08 Draft P&amp;L'!D11),'08 Draft P&amp;L'!D11,"")</x:f>
        <x:v>-24725</x:v>
      </x:c>
      <x:c r="E19" s="146" t="n">
        <x:f>IF(ISNUMBER('08 Draft P&amp;L'!E11),'08 Draft P&amp;L'!E11,"")</x:f>
        <x:v>-24225</x:v>
      </x:c>
      <x:c r="F19" s="146" t="n">
        <x:f>IF(ISNUMBER('08 Draft P&amp;L'!F11),'08 Draft P&amp;L'!F11,"")</x:f>
        <x:v>-24225</x:v>
      </x:c>
      <x:c r="G19" s="146" t="n">
        <x:f>IF(ISNUMBER('08 Draft P&amp;L'!G11),'08 Draft P&amp;L'!G11,"")</x:f>
        <x:v>-25525</x:v>
      </x:c>
      <x:c r="H19" s="146" t="n">
        <x:f>IF(ISNUMBER('08 Draft P&amp;L'!H11),'08 Draft P&amp;L'!H11,"")</x:f>
        <x:v>-23225</x:v>
      </x:c>
      <x:c r="I19" s="146" t="n">
        <x:f>IF(ISNUMBER('08 Draft P&amp;L'!I11),'08 Draft P&amp;L'!I11,"")</x:f>
        <x:v>-22725</x:v>
      </x:c>
      <x:c r="J19" s="146" t="n">
        <x:f>IF(ISNUMBER('08 Draft P&amp;L'!J11),'08 Draft P&amp;L'!J11,"")</x:f>
        <x:v>-21225</x:v>
      </x:c>
      <x:c r="K19" s="146" t="n">
        <x:f>IF(ISNUMBER('08 Draft P&amp;L'!K11),'08 Draft P&amp;L'!K11,"")</x:f>
        <x:v>-22225</x:v>
      </x:c>
      <x:c r="L19" s="146" t="n">
        <x:f>IF(ISNUMBER('08 Draft P&amp;L'!L11),'08 Draft P&amp;L'!L11,"")</x:f>
        <x:v>-24725</x:v>
      </x:c>
      <x:c r="M19" s="146" t="n">
        <x:f>IF(ISNUMBER('08 Draft P&amp;L'!M11),'08 Draft P&amp;L'!M11,"")</x:f>
        <x:v>-25225</x:v>
      </x:c>
      <x:c r="N19" s="146" t="n">
        <x:f>IF(ISNUMBER('08 Draft P&amp;L'!N11),'08 Draft P&amp;L'!N11,"")</x:f>
        <x:v>-24225</x:v>
      </x:c>
      <x:c r="O19" s="146" t="n">
        <x:f>IF(ISNUMBER('08 Draft P&amp;L'!O11),'08 Draft P&amp;L'!O11,"")</x:f>
        <x:v>-22725</x:v>
      </x:c>
      <x:c r="P19" s="151" t="n">
        <x:f>IF(ISNUMBER('08 Draft P&amp;L'!P11),'08 Draft P&amp;L'!P11,"")</x:f>
        <x:v>-285000</x:v>
      </x:c>
    </x:row>
    <x:row r="20" ht="24" customHeight="1">
      <x:c r="B20" s="144"/>
      <x:c r="C20" s="158" t="str">
        <x:v>Part 1 Red-pencil correction</x:v>
      </x:c>
      <x:c r="D20" s="147" t="n">
        <x:f>IF(ISNUMBER('10 Corrected Budget'!D11),'10 Corrected Budget'!D11,"")</x:f>
        <x:v>-24875</x:v>
      </x:c>
      <x:c r="E20" s="147" t="n">
        <x:f>IF(ISNUMBER('10 Corrected Budget'!E11),'10 Corrected Budget'!E11,"")</x:f>
        <x:v>-24375</x:v>
      </x:c>
      <x:c r="F20" s="147" t="n">
        <x:f>IF(ISNUMBER('10 Corrected Budget'!F11),'10 Corrected Budget'!F11,"")</x:f>
        <x:v>-22125</x:v>
      </x:c>
      <x:c r="G20" s="147" t="n">
        <x:f>IF(ISNUMBER('10 Corrected Budget'!G11),'10 Corrected Budget'!G11,"")</x:f>
        <x:v>-21625</x:v>
      </x:c>
      <x:c r="H20" s="147" t="n">
        <x:f>IF(ISNUMBER('10 Corrected Budget'!H11),'10 Corrected Budget'!H11,"")</x:f>
        <x:v>-23791.666666666668</x:v>
      </x:c>
      <x:c r="I20" s="147" t="n">
        <x:f>IF(ISNUMBER('10 Corrected Budget'!I11),'10 Corrected Budget'!I11,"")</x:f>
        <x:v>-23291.666666666668</x:v>
      </x:c>
      <x:c r="J20" s="147" t="n">
        <x:f>IF(ISNUMBER('10 Corrected Budget'!J11),'10 Corrected Budget'!J11,"")</x:f>
        <x:v>-21791.666666666668</x:v>
      </x:c>
      <x:c r="K20" s="147" t="n">
        <x:f>IF(ISNUMBER('10 Corrected Budget'!K11),'10 Corrected Budget'!K11,"")</x:f>
        <x:v>-22791.666666666668</x:v>
      </x:c>
      <x:c r="L20" s="147" t="n">
        <x:f>IF(ISNUMBER('10 Corrected Budget'!L11),'10 Corrected Budget'!L11,"")</x:f>
        <x:v>-25291.666666666668</x:v>
      </x:c>
      <x:c r="M20" s="147" t="n">
        <x:f>IF(ISNUMBER('10 Corrected Budget'!M11),'10 Corrected Budget'!M11,"")</x:f>
        <x:v>-25791.666666666668</x:v>
      </x:c>
      <x:c r="N20" s="147" t="n">
        <x:f>IF(ISNUMBER('10 Corrected Budget'!N11),'10 Corrected Budget'!N11,"")</x:f>
        <x:v>-24791.666666666668</x:v>
      </x:c>
      <x:c r="O20" s="147" t="n">
        <x:f>IF(ISNUMBER('10 Corrected Budget'!O11),'10 Corrected Budget'!O11,"")</x:f>
        <x:v>-23291.666666666668</x:v>
      </x:c>
      <x:c r="P20" s="153" t="n">
        <x:f>IF(ISNUMBER('10 Corrected Budget'!P11),'10 Corrected Budget'!P11,"")</x:f>
        <x:v>-283833.3333333333</x:v>
      </x:c>
    </x:row>
    <x:row r="21" ht="24" customHeight="1">
      <x:c r="B21" s="145"/>
      <x:c r="C21" s="159" t="str">
        <x:v>Part 2 Management plan</x:v>
      </x:c>
      <x:c r="D21" s="148" t="n">
        <x:f>IF(ISNUMBER('12 Management Budget'!D11),'12 Management Budget'!D11,"")</x:f>
        <x:v>-25875</x:v>
      </x:c>
      <x:c r="E21" s="148" t="n">
        <x:f>IF(ISNUMBER('12 Management Budget'!E11),'12 Management Budget'!E11,"")</x:f>
        <x:v>-25375</x:v>
      </x:c>
      <x:c r="F21" s="148" t="n">
        <x:f>IF(ISNUMBER('12 Management Budget'!F11),'12 Management Budget'!F11,"")</x:f>
        <x:v>-22125</x:v>
      </x:c>
      <x:c r="G21" s="148" t="n">
        <x:f>IF(ISNUMBER('12 Management Budget'!G11),'12 Management Budget'!G11,"")</x:f>
        <x:v>-21625</x:v>
      </x:c>
      <x:c r="H21" s="148" t="n">
        <x:f>IF(ISNUMBER('12 Management Budget'!H11),'12 Management Budget'!H11,"")</x:f>
        <x:v>-23791.666666666668</x:v>
      </x:c>
      <x:c r="I21" s="148" t="n">
        <x:f>IF(ISNUMBER('12 Management Budget'!I11),'12 Management Budget'!I11,"")</x:f>
        <x:v>-23291.666666666668</x:v>
      </x:c>
      <x:c r="J21" s="148" t="n">
        <x:f>IF(ISNUMBER('12 Management Budget'!J11),'12 Management Budget'!J11,"")</x:f>
        <x:v>-21791.666666666668</x:v>
      </x:c>
      <x:c r="K21" s="148" t="n">
        <x:f>IF(ISNUMBER('12 Management Budget'!K11),'12 Management Budget'!K11,"")</x:f>
        <x:v>-22791.666666666668</x:v>
      </x:c>
      <x:c r="L21" s="148" t="n">
        <x:f>IF(ISNUMBER('12 Management Budget'!L11),'12 Management Budget'!L11,"")</x:f>
        <x:v>-25291.666666666668</x:v>
      </x:c>
      <x:c r="M21" s="148" t="n">
        <x:f>IF(ISNUMBER('12 Management Budget'!M11),'12 Management Budget'!M11,"")</x:f>
        <x:v>-25791.666666666668</x:v>
      </x:c>
      <x:c r="N21" s="148" t="n">
        <x:f>IF(ISNUMBER('12 Management Budget'!N11),'12 Management Budget'!N11,"")</x:f>
        <x:v>-24791.666666666668</x:v>
      </x:c>
      <x:c r="O21" s="148" t="n">
        <x:f>IF(ISNUMBER('12 Management Budget'!O11),'12 Management Budget'!O11,"")</x:f>
        <x:v>-23291.666666666668</x:v>
      </x:c>
      <x:c r="P21" s="155" t="n">
        <x:f>IF(ISNUMBER('12 Management Budget'!P11),'12 Management Budget'!P11,"")</x:f>
        <x:v>-285833.3333333333</x:v>
      </x:c>
    </x:row>
    <x:row r="22" ht="24" customHeight="1">
      <x:c r="B22" s="103"/>
      <x:c r="C22" s="104"/>
      <x:c r="D22" s="149"/>
      <x:c r="E22" s="149"/>
      <x:c r="F22" s="149"/>
      <x:c r="G22" s="149"/>
      <x:c r="H22" s="149"/>
      <x:c r="I22" s="149"/>
      <x:c r="J22" s="149"/>
      <x:c r="K22" s="149"/>
      <x:c r="L22" s="149"/>
      <x:c r="M22" s="149"/>
      <x:c r="N22" s="149"/>
      <x:c r="O22" s="149"/>
      <x:c r="P22" s="156"/>
    </x:row>
    <x:row r="23" ht="24" customHeight="1">
      <x:c r="B23" s="150" t="str">
        <x:v>Operating result</x:v>
      </x:c>
      <x:c r="C23" s="160" t="str">
        <x:v>Original draft</x:v>
      </x:c>
      <x:c r="D23" s="151" t="n">
        <x:f>IF(ISNUMBER('08 Draft P&amp;L'!D12),'08 Draft P&amp;L'!D12,"")</x:f>
        <x:v>26775</x:v>
      </x:c>
      <x:c r="E23" s="151" t="n">
        <x:f>IF(ISNUMBER('08 Draft P&amp;L'!E12),'08 Draft P&amp;L'!E12,"")</x:f>
        <x:v>32820</x:v>
      </x:c>
      <x:c r="F23" s="151" t="n">
        <x:f>IF(ISNUMBER('08 Draft P&amp;L'!F12),'08 Draft P&amp;L'!F12,"")</x:f>
        <x:v>39025</x:v>
      </x:c>
      <x:c r="G23" s="151" t="n">
        <x:f>IF(ISNUMBER('08 Draft P&amp;L'!G12),'08 Draft P&amp;L'!G12,"")</x:f>
        <x:v>48822.5</x:v>
      </x:c>
      <x:c r="H23" s="151" t="n">
        <x:f>IF(ISNUMBER('08 Draft P&amp;L'!H12),'08 Draft P&amp;L'!H12,"")</x:f>
        <x:v>39970</x:v>
      </x:c>
      <x:c r="I23" s="151" t="n">
        <x:f>IF(ISNUMBER('08 Draft P&amp;L'!I12),'08 Draft P&amp;L'!I12,"")</x:f>
        <x:v>42750</x:v>
      </x:c>
      <x:c r="J23" s="151" t="n">
        <x:f>IF(ISNUMBER('08 Draft P&amp;L'!J12),'08 Draft P&amp;L'!J12,"")</x:f>
        <x:v>37650</x:v>
      </x:c>
      <x:c r="K23" s="151" t="n">
        <x:f>IF(ISNUMBER('08 Draft P&amp;L'!K12),'08 Draft P&amp;L'!K12,"")</x:f>
        <x:v>64725</x:v>
      </x:c>
      <x:c r="L23" s="151" t="n">
        <x:f>IF(ISNUMBER('08 Draft P&amp;L'!L12),'08 Draft P&amp;L'!L12,"")</x:f>
        <x:v>75005</x:v>
      </x:c>
      <x:c r="M23" s="151" t="n">
        <x:f>IF(ISNUMBER('08 Draft P&amp;L'!M12),'08 Draft P&amp;L'!M12,"")</x:f>
        <x:v>90277.5</x:v>
      </x:c>
      <x:c r="N23" s="151" t="n">
        <x:f>IF(ISNUMBER('08 Draft P&amp;L'!N12),'08 Draft P&amp;L'!N12,"")</x:f>
        <x:v>69035</x:v>
      </x:c>
      <x:c r="O23" s="151" t="n">
        <x:f>IF(ISNUMBER('08 Draft P&amp;L'!O12),'08 Draft P&amp;L'!O12,"")</x:f>
        <x:v>60450</x:v>
      </x:c>
      <x:c r="P23" s="151" t="n">
        <x:f>IF(ISNUMBER('08 Draft P&amp;L'!P12),'08 Draft P&amp;L'!P12,"")</x:f>
        <x:v>627305</x:v>
      </x:c>
    </x:row>
    <x:row r="24" ht="24" customHeight="1">
      <x:c r="B24" s="152"/>
      <x:c r="C24" s="161" t="str">
        <x:v>Part 1 Red-pencil correction</x:v>
      </x:c>
      <x:c r="D24" s="153" t="n">
        <x:f>IF(ISNUMBER('10 Corrected Budget'!D12),'10 Corrected Budget'!D12,"")</x:f>
        <x:v>-6355</x:v>
      </x:c>
      <x:c r="E24" s="153" t="n">
        <x:f>IF(ISNUMBER('10 Corrected Budget'!E12),'10 Corrected Budget'!E12,"")</x:f>
        <x:v>-5065.9375</x:v>
      </x:c>
      <x:c r="F24" s="153" t="n">
        <x:f>IF(ISNUMBER('10 Corrected Budget'!F12),'10 Corrected Budget'!F12,"")</x:f>
        <x:v>-5765.3125</x:v>
      </x:c>
      <x:c r="G24" s="153" t="n">
        <x:f>IF(ISNUMBER('10 Corrected Budget'!G12),'10 Corrected Budget'!G12,"")</x:f>
        <x:v>-6384.40625</x:v>
      </x:c>
      <x:c r="H24" s="153" t="n">
        <x:f>IF(ISNUMBER('10 Corrected Budget'!H12),'10 Corrected Budget'!H12,"")</x:f>
        <x:v>-7716.979166666668</x:v>
      </x:c>
      <x:c r="I24" s="153" t="n">
        <x:f>IF(ISNUMBER('10 Corrected Budget'!I12),'10 Corrected Budget'!I12,"")</x:f>
        <x:v>-13217.604166666668</x:v>
      </x:c>
      <x:c r="J24" s="153" t="n">
        <x:f>IF(ISNUMBER('10 Corrected Budget'!J12),'10 Corrected Budget'!J12,"")</x:f>
        <x:v>-16734.010416666668</x:v>
      </x:c>
      <x:c r="K24" s="153" t="n">
        <x:f>IF(ISNUMBER('10 Corrected Budget'!K12),'10 Corrected Budget'!K12,"")</x:f>
        <x:v>-11526.979166666668</x:v>
      </x:c>
      <x:c r="L24" s="153" t="n">
        <x:f>IF(ISNUMBER('10 Corrected Budget'!L12),'10 Corrected Budget'!L12,"")</x:f>
        <x:v>-1872.6041666666679</x:v>
      </x:c>
      <x:c r="M24" s="153" t="n">
        <x:f>IF(ISNUMBER('10 Corrected Budget'!M12),'10 Corrected Budget'!M12,"")</x:f>
        <x:v>849.2145833333307</x:v>
      </x:c>
      <x:c r="N24" s="153" t="n">
        <x:f>IF(ISNUMBER('10 Corrected Budget'!N12),'10 Corrected Budget'!N12,"")</x:f>
        <x:v>-8594.391666666666</x:v>
      </x:c>
      <x:c r="O24" s="153" t="n">
        <x:f>IF(ISNUMBER('10 Corrected Budget'!O12),'10 Corrected Budget'!O12,"")</x:f>
        <x:v>-10176.979166666668</x:v>
      </x:c>
      <x:c r="P24" s="153" t="n">
        <x:f>IF(ISNUMBER('10 Corrected Budget'!P12),'10 Corrected Budget'!P12,"")</x:f>
        <x:v>-92560.98958333334</x:v>
      </x:c>
    </x:row>
    <x:row r="25" ht="24" customHeight="1">
      <x:c r="B25" s="154"/>
      <x:c r="C25" s="162" t="str">
        <x:v>Part 2 Management plan</x:v>
      </x:c>
      <x:c r="D25" s="155" t="n">
        <x:f>IF(ISNUMBER('12 Management Budget'!D12),'12 Management Budget'!D12,"")</x:f>
        <x:v>-7355</x:v>
      </x:c>
      <x:c r="E25" s="155" t="n">
        <x:f>IF(ISNUMBER('12 Management Budget'!E12),'12 Management Budget'!E12,"")</x:f>
        <x:v>-1105.9375</x:v>
      </x:c>
      <x:c r="F25" s="155" t="n">
        <x:f>IF(ISNUMBER('12 Management Budget'!F12),'12 Management Budget'!F12,"")</x:f>
        <x:v>737.1875</x:v>
      </x:c>
      <x:c r="G25" s="155" t="n">
        <x:f>IF(ISNUMBER('12 Management Budget'!G12),'12 Management Budget'!G12,"")</x:f>
        <x:v>6008.71875</x:v>
      </x:c>
      <x:c r="H25" s="155" t="n">
        <x:f>IF(ISNUMBER('12 Management Budget'!H12),'12 Management Budget'!H12,"")</x:f>
        <x:v>-1496.3541666666679</x:v>
      </x:c>
      <x:c r="I25" s="155" t="n">
        <x:f>IF(ISNUMBER('12 Management Budget'!I12),'12 Management Budget'!I12,"")</x:f>
        <x:v>-4393.229166666668</x:v>
      </x:c>
      <x:c r="J25" s="155" t="n">
        <x:f>IF(ISNUMBER('12 Management Budget'!J12),'12 Management Budget'!J12,"")</x:f>
        <x:v>-14214.572916666668</x:v>
      </x:c>
      <x:c r="K25" s="155" t="n">
        <x:f>IF(ISNUMBER('12 Management Budget'!K12),'12 Management Budget'!K12,"")</x:f>
        <x:v>-8031.979166666668</x:v>
      </x:c>
      <x:c r="L25" s="155" t="n">
        <x:f>IF(ISNUMBER('12 Management Budget'!L12),'12 Management Budget'!L12,"")</x:f>
        <x:v>4347.395833333332</x:v>
      </x:c>
      <x:c r="M25" s="155" t="n">
        <x:f>IF(ISNUMBER('12 Management Budget'!M12),'12 Management Budget'!M12,"")</x:f>
        <x:v>7839.214583333331</x:v>
      </x:c>
      <x:c r="N25" s="155" t="n">
        <x:f>IF(ISNUMBER('12 Management Budget'!N12),'12 Management Budget'!N12,"")</x:f>
        <x:v>-3089.291666666668</x:v>
      </x:c>
      <x:c r="O25" s="155" t="n">
        <x:f>IF(ISNUMBER('12 Management Budget'!O12),'12 Management Budget'!O12,"")</x:f>
        <x:v>1008.0208333333321</x:v>
      </x:c>
      <x:c r="P25" s="155" t="n">
        <x:f>IF(ISNUMBER('12 Management Budget'!P12),'12 Management Budget'!P12,"")</x:f>
        <x:v>-19745.827083333344</x:v>
      </x:c>
    </x:row>
    <x:row r="26">
      <x:c r="B26" s="103"/>
      <x:c r="C26" s="103"/>
      <x:c r="D26" s="103"/>
      <x:c r="E26" s="103"/>
      <x:c r="F26" s="103"/>
      <x:c r="G26" s="103"/>
      <x:c r="H26" s="103"/>
      <x:c r="I26" s="103"/>
      <x:c r="J26" s="103"/>
      <x:c r="K26" s="103"/>
      <x:c r="L26" s="103"/>
      <x:c r="M26" s="103"/>
      <x:c r="N26" s="103"/>
      <x:c r="O26" s="103"/>
      <x:c r="P26" s="103"/>
    </x:row>
    <x:row r="27">
      <x:c r="B27" s="103"/>
      <x:c r="C27" s="103"/>
      <x:c r="D27" s="103"/>
      <x:c r="E27" s="103"/>
      <x:c r="F27" s="103"/>
      <x:c r="G27" s="103"/>
      <x:c r="H27" s="103"/>
      <x:c r="I27" s="103"/>
      <x:c r="J27" s="103"/>
      <x:c r="K27" s="103"/>
      <x:c r="L27" s="103"/>
      <x:c r="M27" s="103"/>
      <x:c r="N27" s="103"/>
      <x:c r="O27" s="103"/>
      <x:c r="P27" s="103"/>
    </x:row>
    <x:row r="28" ht="30" customHeight="1">
      <x:c r="B28" s="110" t="str">
        <x:v>Complete both budgets. The comparison fills automatically; no trainer answers are included.</x:v>
      </x:c>
      <x:c r="C28" s="110"/>
      <x:c r="D28" s="110"/>
      <x:c r="E28" s="110"/>
      <x:c r="F28" s="110"/>
      <x:c r="G28" s="110"/>
      <x:c r="H28" s="110"/>
      <x:c r="I28" s="110"/>
      <x:c r="J28" s="110"/>
      <x:c r="K28" s="110"/>
      <x:c r="L28" s="110"/>
      <x:c r="M28" s="110"/>
      <x:c r="N28" s="110"/>
      <x:c r="O28" s="110"/>
      <x:c r="P28" s="110"/>
    </x:row>
    <x:row r="32">
      <x:c r="B32" s="163"/>
      <x:c r="C32" s="163"/>
      <x:c r="D32" s="268"/>
      <x:c r="E32" s="268"/>
      <x:c r="F32" s="268"/>
      <x:c r="G32" s="268"/>
      <x:c r="H32" s="268"/>
      <x:c r="I32" s="268"/>
      <x:c r="J32" s="268"/>
      <x:c r="K32" s="268"/>
      <x:c r="L32" s="268"/>
      <x:c r="M32" s="268"/>
      <x:c r="N32" s="268"/>
      <x:c r="O32" s="268"/>
      <x:c r="P32" s="268"/>
    </x:row>
    <x:row r="33" ht="25" customHeight="1">
      <x:c r="B33" s="271" t="str">
        <x:v>Original draft to Part 1 profit bridge</x:v>
      </x:c>
      <x:c r="C33" s="271"/>
      <x:c r="D33" s="272"/>
      <x:c r="E33" s="272"/>
      <x:c r="F33" s="272"/>
      <x:c r="G33" s="272"/>
      <x:c r="H33" s="272"/>
      <x:c r="I33" s="272"/>
      <x:c r="J33" s="272"/>
      <x:c r="K33" s="272"/>
      <x:c r="L33" s="272"/>
      <x:c r="M33" s="272"/>
      <x:c r="N33" s="272"/>
      <x:c r="O33" s="272"/>
      <x:c r="P33" s="272"/>
    </x:row>
    <x:row r="34">
      <x:c r="B34" s="163" t="str">
        <x:v>Original draft operating profit</x:v>
      </x:c>
      <x:c r="C34" s="163"/>
      <x:c r="D34" s="268" t="n">
        <x:f>'08 Draft P&amp;L'!D12</x:f>
        <x:v>26775</x:v>
      </x:c>
      <x:c r="E34" s="268" t="n">
        <x:f>'08 Draft P&amp;L'!E12</x:f>
        <x:v>32820</x:v>
      </x:c>
      <x:c r="F34" s="268" t="n">
        <x:f>'08 Draft P&amp;L'!F12</x:f>
        <x:v>39025</x:v>
      </x:c>
      <x:c r="G34" s="268" t="n">
        <x:f>'08 Draft P&amp;L'!G12</x:f>
        <x:v>48822.5</x:v>
      </x:c>
      <x:c r="H34" s="268" t="n">
        <x:f>'08 Draft P&amp;L'!H12</x:f>
        <x:v>39970</x:v>
      </x:c>
      <x:c r="I34" s="268" t="n">
        <x:f>'08 Draft P&amp;L'!I12</x:f>
        <x:v>42750</x:v>
      </x:c>
      <x:c r="J34" s="268" t="n">
        <x:f>'08 Draft P&amp;L'!J12</x:f>
        <x:v>37650</x:v>
      </x:c>
      <x:c r="K34" s="268" t="n">
        <x:f>'08 Draft P&amp;L'!K12</x:f>
        <x:v>64725</x:v>
      </x:c>
      <x:c r="L34" s="268" t="n">
        <x:f>'08 Draft P&amp;L'!L12</x:f>
        <x:v>75005</x:v>
      </x:c>
      <x:c r="M34" s="268" t="n">
        <x:f>'08 Draft P&amp;L'!M12</x:f>
        <x:v>90277.5</x:v>
      </x:c>
      <x:c r="N34" s="268" t="n">
        <x:f>'08 Draft P&amp;L'!N12</x:f>
        <x:v>69035</x:v>
      </x:c>
      <x:c r="O34" s="268" t="n">
        <x:f>'08 Draft P&amp;L'!O12</x:f>
        <x:v>60450</x:v>
      </x:c>
      <x:c r="P34" s="268" t="n">
        <x:f>SUM(D34:O34)</x:f>
        <x:v>627305</x:v>
      </x:c>
    </x:row>
    <x:row r="35">
      <x:c r="B35" s="163" t="str">
        <x:v>Corporate forecast correction</x:v>
      </x:c>
      <x:c r="C35" s="163"/>
      <x:c r="D35" s="268" t="n">
        <x:f>'15 P1 Workings'!D19-SUM('05 Draft Sales Budget'!D7,'05 Draft Sales Budget'!D8,'05 Draft Sales Budget'!D10,'05 Draft Sales Budget'!D11,'05 Draft Sales Budget'!D13,'05 Draft Sales Budget'!D14,'05 Draft Sales Budget'!D16,'05 Draft Sales Budget'!D17,'05 Draft Sales Budget'!D19,'05 Draft Sales Budget'!D20)</x:f>
        <x:v>-8000</x:v>
      </x:c>
      <x:c r="E35" s="268" t="n">
        <x:f>'15 P1 Workings'!E19-SUM('05 Draft Sales Budget'!E7,'05 Draft Sales Budget'!E8,'05 Draft Sales Budget'!E10,'05 Draft Sales Budget'!E11,'05 Draft Sales Budget'!E13,'05 Draft Sales Budget'!E14,'05 Draft Sales Budget'!E16,'05 Draft Sales Budget'!E17,'05 Draft Sales Budget'!E19,'05 Draft Sales Budget'!E20)</x:f>
        <x:v>-9800</x:v>
      </x:c>
      <x:c r="F35" s="268" t="n">
        <x:f>'15 P1 Workings'!F19-SUM('05 Draft Sales Budget'!F7,'05 Draft Sales Budget'!F8,'05 Draft Sales Budget'!F10,'05 Draft Sales Budget'!F11,'05 Draft Sales Budget'!F13,'05 Draft Sales Budget'!F14,'05 Draft Sales Budget'!F16,'05 Draft Sales Budget'!F17,'05 Draft Sales Budget'!F19,'05 Draft Sales Budget'!F20)</x:f>
        <x:v>-27500</x:v>
      </x:c>
      <x:c r="G35" s="268" t="n">
        <x:f>'15 P1 Workings'!G19-SUM('05 Draft Sales Budget'!G7,'05 Draft Sales Budget'!G8,'05 Draft Sales Budget'!G10,'05 Draft Sales Budget'!G11,'05 Draft Sales Budget'!G13,'05 Draft Sales Budget'!G14,'05 Draft Sales Budget'!G16,'05 Draft Sales Budget'!G17,'05 Draft Sales Budget'!G19,'05 Draft Sales Budget'!G20)</x:f>
        <x:v>-30000</x:v>
      </x:c>
      <x:c r="H35" s="268" t="n">
        <x:f>'15 P1 Workings'!H19-SUM('05 Draft Sales Budget'!H7,'05 Draft Sales Budget'!H8,'05 Draft Sales Budget'!H10,'05 Draft Sales Budget'!H11,'05 Draft Sales Budget'!H13,'05 Draft Sales Budget'!H14,'05 Draft Sales Budget'!H16,'05 Draft Sales Budget'!H17,'05 Draft Sales Budget'!H19,'05 Draft Sales Budget'!H20)</x:f>
        <x:v>-27500</x:v>
      </x:c>
      <x:c r="I35" s="268" t="n">
        <x:f>'15 P1 Workings'!I19-SUM('05 Draft Sales Budget'!I7,'05 Draft Sales Budget'!I8,'05 Draft Sales Budget'!I10,'05 Draft Sales Budget'!I11,'05 Draft Sales Budget'!I13,'05 Draft Sales Budget'!I14,'05 Draft Sales Budget'!I16,'05 Draft Sales Budget'!I17,'05 Draft Sales Budget'!I19,'05 Draft Sales Budget'!I20)</x:f>
        <x:v>-37500</x:v>
      </x:c>
      <x:c r="J35" s="268" t="n">
        <x:f>'15 P1 Workings'!J19-SUM('05 Draft Sales Budget'!J7,'05 Draft Sales Budget'!J8,'05 Draft Sales Budget'!J10,'05 Draft Sales Budget'!J11,'05 Draft Sales Budget'!J13,'05 Draft Sales Budget'!J14,'05 Draft Sales Budget'!J16,'05 Draft Sales Budget'!J17,'05 Draft Sales Budget'!J19,'05 Draft Sales Budget'!J20)</x:f>
        <x:v>-38750</x:v>
      </x:c>
      <x:c r="K35" s="268" t="n">
        <x:f>'15 P1 Workings'!K19-SUM('05 Draft Sales Budget'!K7,'05 Draft Sales Budget'!K8,'05 Draft Sales Budget'!K10,'05 Draft Sales Budget'!K11,'05 Draft Sales Budget'!K13,'05 Draft Sales Budget'!K14,'05 Draft Sales Budget'!K16,'05 Draft Sales Budget'!K17,'05 Draft Sales Budget'!K19,'05 Draft Sales Budget'!K20)</x:f>
        <x:v>-47500</x:v>
      </x:c>
      <x:c r="L35" s="268" t="n">
        <x:f>'15 P1 Workings'!L19-SUM('05 Draft Sales Budget'!L7,'05 Draft Sales Budget'!L8,'05 Draft Sales Budget'!L10,'05 Draft Sales Budget'!L11,'05 Draft Sales Budget'!L13,'05 Draft Sales Budget'!L14,'05 Draft Sales Budget'!L16,'05 Draft Sales Budget'!L17,'05 Draft Sales Budget'!L19,'05 Draft Sales Budget'!L20)</x:f>
        <x:v>-39600</x:v>
      </x:c>
      <x:c r="M35" s="268" t="n">
        <x:f>'15 P1 Workings'!M19-SUM('05 Draft Sales Budget'!M7,'05 Draft Sales Budget'!M8,'05 Draft Sales Budget'!M10,'05 Draft Sales Budget'!M11,'05 Draft Sales Budget'!M13,'05 Draft Sales Budget'!M14,'05 Draft Sales Budget'!M16,'05 Draft Sales Budget'!M17,'05 Draft Sales Budget'!M19,'05 Draft Sales Budget'!M20)</x:f>
        <x:v>-45000</x:v>
      </x:c>
      <x:c r="N35" s="268" t="n">
        <x:f>'15 P1 Workings'!N19-SUM('05 Draft Sales Budget'!N7,'05 Draft Sales Budget'!N8,'05 Draft Sales Budget'!N10,'05 Draft Sales Budget'!N11,'05 Draft Sales Budget'!N13,'05 Draft Sales Budget'!N14,'05 Draft Sales Budget'!N16,'05 Draft Sales Budget'!N17,'05 Draft Sales Budget'!N19,'05 Draft Sales Budget'!N20)</x:f>
        <x:v>-50000</x:v>
      </x:c>
      <x:c r="O35" s="268" t="n">
        <x:f>'15 P1 Workings'!O19-SUM('05 Draft Sales Budget'!O7,'05 Draft Sales Budget'!O8,'05 Draft Sales Budget'!O10,'05 Draft Sales Budget'!O11,'05 Draft Sales Budget'!O13,'05 Draft Sales Budget'!O14,'05 Draft Sales Budget'!O16,'05 Draft Sales Budget'!O17,'05 Draft Sales Budget'!O19,'05 Draft Sales Budget'!O20)</x:f>
        <x:v>-37500</x:v>
      </x:c>
      <x:c r="P35" s="268" t="n">
        <x:f>SUM(D35:O35)</x:f>
        <x:v>-398650</x:v>
      </x:c>
    </x:row>
    <x:row r="36">
      <x:c r="B36" s="163" t="str">
        <x:v>Open forecast correction</x:v>
      </x:c>
      <x:c r="C36" s="163"/>
      <x:c r="D36" s="268" t="n">
        <x:f>'15 P1 Workings'!D36-SUM('05 Draft Sales Budget'!D9,'05 Draft Sales Budget'!D12,'05 Draft Sales Budget'!D15,'05 Draft Sales Budget'!D18,'05 Draft Sales Budget'!D21)</x:f>
        <x:v>-7700</x:v>
      </x:c>
      <x:c r="E36" s="268" t="n">
        <x:f>'15 P1 Workings'!E36-SUM('05 Draft Sales Budget'!E9,'05 Draft Sales Budget'!E12,'05 Draft Sales Budget'!E15,'05 Draft Sales Budget'!E18,'05 Draft Sales Budget'!E21)</x:f>
        <x:v>-13000</x:v>
      </x:c>
      <x:c r="F36" s="268" t="n">
        <x:f>'15 P1 Workings'!F36-SUM('05 Draft Sales Budget'!F9,'05 Draft Sales Budget'!F12,'05 Draft Sales Budget'!F15,'05 Draft Sales Budget'!F18,'05 Draft Sales Budget'!F21)</x:f>
        <x:v>-7500</x:v>
      </x:c>
      <x:c r="G36" s="268" t="n">
        <x:f>'15 P1 Workings'!G36-SUM('05 Draft Sales Budget'!G9,'05 Draft Sales Budget'!G12,'05 Draft Sales Budget'!G15,'05 Draft Sales Budget'!G18,'05 Draft Sales Budget'!G21)</x:f>
        <x:v>-18000</x:v>
      </x:c>
      <x:c r="H36" s="268" t="n">
        <x:f>'15 P1 Workings'!H36-SUM('05 Draft Sales Budget'!H9,'05 Draft Sales Budget'!H12,'05 Draft Sales Budget'!H15,'05 Draft Sales Budget'!H18,'05 Draft Sales Budget'!H21)</x:f>
        <x:v>-7700</x:v>
      </x:c>
      <x:c r="I36" s="268" t="n">
        <x:f>'15 P1 Workings'!I36-SUM('05 Draft Sales Budget'!I9,'05 Draft Sales Budget'!I12,'05 Draft Sales Budget'!I15,'05 Draft Sales Budget'!I18,'05 Draft Sales Budget'!I21)</x:f>
        <x:v>-16000</x:v>
      </x:c>
      <x:c r="J36" s="268" t="n">
        <x:f>'15 P1 Workings'!J36-SUM('05 Draft Sales Budget'!J9,'05 Draft Sales Budget'!J12,'05 Draft Sales Budget'!J15,'05 Draft Sales Budget'!J18,'05 Draft Sales Budget'!J21)</x:f>
        <x:v>-10000</x:v>
      </x:c>
      <x:c r="K36" s="268" t="n">
        <x:f>'15 P1 Workings'!K36-SUM('05 Draft Sales Budget'!K9,'05 Draft Sales Budget'!K12,'05 Draft Sales Budget'!K15,'05 Draft Sales Budget'!K18,'05 Draft Sales Budget'!K21)</x:f>
        <x:v>-15500</x:v>
      </x:c>
      <x:c r="L36" s="268" t="n">
        <x:f>'15 P1 Workings'!L36-SUM('05 Draft Sales Budget'!L9,'05 Draft Sales Budget'!L12,'05 Draft Sales Budget'!L15,'05 Draft Sales Budget'!L18,'05 Draft Sales Budget'!L21)</x:f>
        <x:v>-21200</x:v>
      </x:c>
      <x:c r="M36" s="268" t="n">
        <x:f>'15 P1 Workings'!M36-SUM('05 Draft Sales Budget'!M9,'05 Draft Sales Budget'!M12,'05 Draft Sales Budget'!M15,'05 Draft Sales Budget'!M18,'05 Draft Sales Budget'!M21)</x:f>
        <x:v>-20500</x:v>
      </x:c>
      <x:c r="N36" s="268" t="n">
        <x:f>'15 P1 Workings'!N36-SUM('05 Draft Sales Budget'!N9,'05 Draft Sales Budget'!N12,'05 Draft Sales Budget'!N15,'05 Draft Sales Budget'!N18,'05 Draft Sales Budget'!N21)</x:f>
        <x:v>-19700</x:v>
      </x:c>
      <x:c r="O36" s="268" t="n">
        <x:f>'15 P1 Workings'!O36-SUM('05 Draft Sales Budget'!O9,'05 Draft Sales Budget'!O12,'05 Draft Sales Budget'!O15,'05 Draft Sales Budget'!O18,'05 Draft Sales Budget'!O21)</x:f>
        <x:v>-19500</x:v>
      </x:c>
      <x:c r="P36" s="268" t="n">
        <x:f>SUM(D36:O36)</x:f>
        <x:v>-176300</x:v>
      </x:c>
    </x:row>
    <x:row r="37">
      <x:c r="B37" s="163" t="str">
        <x:v>Source-calendar direct-cost correction</x:v>
      </x:c>
      <x:c r="C37" s="163"/>
      <x:c r="D37" s="268" t="n">
        <x:f>'15 P1 Workings'!D38-'08 Draft P&amp;L'!D8</x:f>
        <x:v>100</x:v>
      </x:c>
      <x:c r="E37" s="268" t="n">
        <x:f>'15 P1 Workings'!E38-'08 Draft P&amp;L'!E8</x:f>
        <x:v>0</x:v>
      </x:c>
      <x:c r="F37" s="268" t="n">
        <x:f>'15 P1 Workings'!F38-'08 Draft P&amp;L'!F8</x:f>
        <x:v>330</x:v>
      </x:c>
      <x:c r="G37" s="268" t="n">
        <x:f>'15 P1 Workings'!G38-'08 Draft P&amp;L'!G8</x:f>
        <x:v>0</x:v>
      </x:c>
      <x:c r="H37" s="268" t="n">
        <x:f>'15 P1 Workings'!H38-'08 Draft P&amp;L'!H8</x:f>
        <x:v>300</x:v>
      </x:c>
      <x:c r="I37" s="268" t="n">
        <x:f>'15 P1 Workings'!I38-'08 Draft P&amp;L'!I8</x:f>
        <x:v>0</x:v>
      </x:c>
      <x:c r="J37" s="268" t="n">
        <x:f>'15 P1 Workings'!J38-'08 Draft P&amp;L'!J8</x:f>
        <x:v>-70</x:v>
      </x:c>
      <x:c r="K37" s="268" t="n">
        <x:f>'15 P1 Workings'!K38-'08 Draft P&amp;L'!K8</x:f>
        <x:v>165</x:v>
      </x:c>
      <x:c r="L37" s="268" t="n">
        <x:f>'15 P1 Workings'!L38-'08 Draft P&amp;L'!L8</x:f>
        <x:v>195</x:v>
      </x:c>
      <x:c r="M37" s="268" t="n">
        <x:f>'15 P1 Workings'!M38-'08 Draft P&amp;L'!M8</x:f>
        <x:v>-202.5</x:v>
      </x:c>
      <x:c r="N37" s="268" t="n">
        <x:f>'15 P1 Workings'!N38-'08 Draft P&amp;L'!N8</x:f>
        <x:v>-395</x:v>
      </x:c>
      <x:c r="O37" s="268" t="n">
        <x:f>'15 P1 Workings'!O38-'08 Draft P&amp;L'!O8</x:f>
        <x:v>-210</x:v>
      </x:c>
      <x:c r="P37" s="268" t="n">
        <x:f>SUM(D37:O37)</x:f>
        <x:v>212.5</x:v>
      </x:c>
    </x:row>
    <x:row r="38">
      <x:c r="B38" s="163" t="str">
        <x:v>Residual corporate direct costs</x:v>
      </x:c>
      <x:c r="C38" s="163"/>
      <x:c r="D38" s="268" t="n">
        <x:f>'15 P1 Workings'!D28</x:f>
        <x:v>-17380</x:v>
      </x:c>
      <x:c r="E38" s="268" t="n">
        <x:f>'15 P1 Workings'!E28</x:f>
        <x:v>-14935.9375</x:v>
      </x:c>
      <x:c r="F38" s="268" t="n">
        <x:f>'15 P1 Workings'!F28</x:f>
        <x:v>-12220.3125</x:v>
      </x:c>
      <x:c r="G38" s="268" t="n">
        <x:f>'15 P1 Workings'!G28</x:f>
        <x:v>-11106.90625</x:v>
      </x:c>
      <x:c r="H38" s="268" t="n">
        <x:f>'15 P1 Workings'!H28</x:f>
        <x:v>-12220.3125</x:v>
      </x:c>
      <x:c r="I38" s="268" t="n">
        <x:f>'15 P1 Workings'!I28</x:f>
        <x:v>-1900.9375</x:v>
      </x:c>
      <x:c r="J38" s="268" t="n">
        <x:f>'15 P1 Workings'!J28</x:f>
        <x:v>-4997.34375</x:v>
      </x:c>
      <x:c r="K38" s="268" t="n">
        <x:f>'15 P1 Workings'!K28</x:f>
        <x:v>-12850.3125</x:v>
      </x:c>
      <x:c r="L38" s="268" t="n">
        <x:f>'15 P1 Workings'!L28</x:f>
        <x:v>-15705.937500000002</x:v>
      </x:c>
      <x:c r="M38" s="268" t="n">
        <x:f>'15 P1 Workings'!M28</x:f>
        <x:v>-23159.11875</x:v>
      </x:c>
      <x:c r="N38" s="268" t="n">
        <x:f>'15 P1 Workings'!N28</x:f>
        <x:v>-6967.725</x:v>
      </x:c>
      <x:c r="O38" s="268" t="n">
        <x:f>'15 P1 Workings'!O28</x:f>
        <x:v>-12850.3125</x:v>
      </x:c>
      <x:c r="P38" s="268" t="n">
        <x:f>SUM(D38:O38)</x:f>
        <x:v>-146295.15625</x:v>
      </x:c>
    </x:row>
    <x:row r="39">
      <x:c r="B39" s="163" t="str">
        <x:v>Payroll and overhead correction</x:v>
      </x:c>
      <x:c r="C39" s="163"/>
      <x:c r="D39" s="268" t="n">
        <x:f>'15 P1 Workings'!D50-'08 Draft P&amp;L'!D11</x:f>
        <x:v>-150</x:v>
      </x:c>
      <x:c r="E39" s="268" t="n">
        <x:f>'15 P1 Workings'!E50-'08 Draft P&amp;L'!E11</x:f>
        <x:v>-150</x:v>
      </x:c>
      <x:c r="F39" s="268" t="n">
        <x:f>'15 P1 Workings'!F50-'08 Draft P&amp;L'!F11</x:f>
        <x:v>2100</x:v>
      </x:c>
      <x:c r="G39" s="268" t="n">
        <x:f>'15 P1 Workings'!G50-'08 Draft P&amp;L'!G11</x:f>
        <x:v>3900</x:v>
      </x:c>
      <x:c r="H39" s="268" t="n">
        <x:f>'15 P1 Workings'!H50-'08 Draft P&amp;L'!H11</x:f>
        <x:v>-566.6666666666679</x:v>
      </x:c>
      <x:c r="I39" s="268" t="n">
        <x:f>'15 P1 Workings'!I50-'08 Draft P&amp;L'!I11</x:f>
        <x:v>-566.6666666666679</x:v>
      </x:c>
      <x:c r="J39" s="268" t="n">
        <x:f>'15 P1 Workings'!J50-'08 Draft P&amp;L'!J11</x:f>
        <x:v>-566.6666666666679</x:v>
      </x:c>
      <x:c r="K39" s="268" t="n">
        <x:f>'15 P1 Workings'!K50-'08 Draft P&amp;L'!K11</x:f>
        <x:v>-566.6666666666679</x:v>
      </x:c>
      <x:c r="L39" s="268" t="n">
        <x:f>'15 P1 Workings'!L50-'08 Draft P&amp;L'!L11</x:f>
        <x:v>-566.6666666666679</x:v>
      </x:c>
      <x:c r="M39" s="268" t="n">
        <x:f>'15 P1 Workings'!M50-'08 Draft P&amp;L'!M11</x:f>
        <x:v>-566.6666666666679</x:v>
      </x:c>
      <x:c r="N39" s="268" t="n">
        <x:f>'15 P1 Workings'!N50-'08 Draft P&amp;L'!N11</x:f>
        <x:v>-566.6666666666679</x:v>
      </x:c>
      <x:c r="O39" s="268" t="n">
        <x:f>'15 P1 Workings'!O50-'08 Draft P&amp;L'!O11</x:f>
        <x:v>-566.6666666666679</x:v>
      </x:c>
      <x:c r="P39" s="268" t="n">
        <x:f>SUM(D39:O39)</x:f>
        <x:v>1166.666666666657</x:v>
      </x:c>
    </x:row>
    <x:row r="40">
      <x:c r="B40" s="276" t="str">
        <x:v>Part 1 profit from bridge</x:v>
      </x:c>
      <x:c r="C40" s="276"/>
      <x:c r="D40" s="277" t="n">
        <x:f>SUM(D34:D39)</x:f>
        <x:v>-6355</x:v>
      </x:c>
      <x:c r="E40" s="277" t="n">
        <x:f>SUM(E34:E39)</x:f>
        <x:v>-5065.9375</x:v>
      </x:c>
      <x:c r="F40" s="277" t="n">
        <x:f>SUM(F34:F39)</x:f>
        <x:v>-5765.3125</x:v>
      </x:c>
      <x:c r="G40" s="277" t="n">
        <x:f>SUM(G34:G39)</x:f>
        <x:v>-6384.40625</x:v>
      </x:c>
      <x:c r="H40" s="277" t="n">
        <x:f>SUM(H34:H39)</x:f>
        <x:v>-7716.979166666668</x:v>
      </x:c>
      <x:c r="I40" s="277" t="n">
        <x:f>SUM(I34:I39)</x:f>
        <x:v>-13217.604166666668</x:v>
      </x:c>
      <x:c r="J40" s="277" t="n">
        <x:f>SUM(J34:J39)</x:f>
        <x:v>-16734.010416666668</x:v>
      </x:c>
      <x:c r="K40" s="277" t="n">
        <x:f>SUM(K34:K39)</x:f>
        <x:v>-11526.979166666668</x:v>
      </x:c>
      <x:c r="L40" s="277" t="n">
        <x:f>SUM(L34:L39)</x:f>
        <x:v>-1872.6041666666697</x:v>
      </x:c>
      <x:c r="M40" s="277" t="n">
        <x:f>SUM(M34:M39)</x:f>
        <x:v>849.2145833333307</x:v>
      </x:c>
      <x:c r="N40" s="277" t="n">
        <x:f>SUM(N34:N39)</x:f>
        <x:v>-8594.391666666668</x:v>
      </x:c>
      <x:c r="O40" s="277" t="n">
        <x:f>SUM(O34:O39)</x:f>
        <x:v>-10176.979166666668</x:v>
      </x:c>
      <x:c r="P40" s="277" t="n">
        <x:f>SUM(D40:O40)</x:f>
        <x:v>-92560.98958333334</x:v>
      </x:c>
    </x:row>
    <x:row r="41">
      <x:c r="B41" s="276" t="str">
        <x:v>Part 1 reported profit</x:v>
      </x:c>
      <x:c r="C41" s="276"/>
      <x:c r="D41" s="277" t="n">
        <x:f>'10 Corrected Budget'!D12</x:f>
        <x:v>-6355</x:v>
      </x:c>
      <x:c r="E41" s="277" t="n">
        <x:f>'10 Corrected Budget'!E12</x:f>
        <x:v>-5065.9375</x:v>
      </x:c>
      <x:c r="F41" s="277" t="n">
        <x:f>'10 Corrected Budget'!F12</x:f>
        <x:v>-5765.3125</x:v>
      </x:c>
      <x:c r="G41" s="277" t="n">
        <x:f>'10 Corrected Budget'!G12</x:f>
        <x:v>-6384.40625</x:v>
      </x:c>
      <x:c r="H41" s="277" t="n">
        <x:f>'10 Corrected Budget'!H12</x:f>
        <x:v>-7716.979166666668</x:v>
      </x:c>
      <x:c r="I41" s="277" t="n">
        <x:f>'10 Corrected Budget'!I12</x:f>
        <x:v>-13217.604166666668</x:v>
      </x:c>
      <x:c r="J41" s="277" t="n">
        <x:f>'10 Corrected Budget'!J12</x:f>
        <x:v>-16734.010416666668</x:v>
      </x:c>
      <x:c r="K41" s="277" t="n">
        <x:f>'10 Corrected Budget'!K12</x:f>
        <x:v>-11526.979166666668</x:v>
      </x:c>
      <x:c r="L41" s="277" t="n">
        <x:f>'10 Corrected Budget'!L12</x:f>
        <x:v>-1872.6041666666679</x:v>
      </x:c>
      <x:c r="M41" s="277" t="n">
        <x:f>'10 Corrected Budget'!M12</x:f>
        <x:v>849.2145833333307</x:v>
      </x:c>
      <x:c r="N41" s="277" t="n">
        <x:f>'10 Corrected Budget'!N12</x:f>
        <x:v>-8594.391666666666</x:v>
      </x:c>
      <x:c r="O41" s="277" t="n">
        <x:f>'10 Corrected Budget'!O12</x:f>
        <x:v>-10176.979166666668</x:v>
      </x:c>
      <x:c r="P41" s="277" t="n">
        <x:f>SUM(D41:O41)</x:f>
        <x:v>-92560.98958333334</x:v>
      </x:c>
    </x:row>
    <x:row r="42">
      <x:c r="B42" s="163" t="str">
        <x:v>Bridge difference</x:v>
      </x:c>
      <x:c r="C42" s="163"/>
      <x:c r="D42" s="280" t="n">
        <x:f>ROUND(D40-D41,6)</x:f>
        <x:v>0</x:v>
      </x:c>
      <x:c r="E42" s="280" t="n">
        <x:f>ROUND(E40-E41,6)</x:f>
        <x:v>0</x:v>
      </x:c>
      <x:c r="F42" s="280" t="n">
        <x:f>ROUND(F40-F41,6)</x:f>
        <x:v>0</x:v>
      </x:c>
      <x:c r="G42" s="280" t="n">
        <x:f>ROUND(G40-G41,6)</x:f>
        <x:v>0</x:v>
      </x:c>
      <x:c r="H42" s="280" t="n">
        <x:f>ROUND(H40-H41,6)</x:f>
        <x:v>0</x:v>
      </x:c>
      <x:c r="I42" s="280" t="n">
        <x:f>ROUND(I40-I41,6)</x:f>
        <x:v>0</x:v>
      </x:c>
      <x:c r="J42" s="280" t="n">
        <x:f>ROUND(J40-J41,6)</x:f>
        <x:v>0</x:v>
      </x:c>
      <x:c r="K42" s="280" t="n">
        <x:f>ROUND(K40-K41,6)</x:f>
        <x:v>0</x:v>
      </x:c>
      <x:c r="L42" s="280" t="n">
        <x:f>ROUND(L40-L41,6)</x:f>
        <x:v>0</x:v>
      </x:c>
      <x:c r="M42" s="280" t="n">
        <x:f>ROUND(M40-M41,6)</x:f>
        <x:v>0</x:v>
      </x:c>
      <x:c r="N42" s="280" t="n">
        <x:f>ROUND(N40-N41,6)</x:f>
        <x:v>0</x:v>
      </x:c>
      <x:c r="O42" s="280" t="n">
        <x:f>ROUND(O40-O41,6)</x:f>
        <x:v>0</x:v>
      </x:c>
      <x:c r="P42" s="280" t="n">
        <x:f>SUM(D42:O42)</x:f>
        <x:v>0</x:v>
      </x:c>
    </x:row>
    <x:row r="43">
      <x:c r="B43" s="163"/>
      <x:c r="C43" s="163"/>
      <x:c r="D43" s="268"/>
      <x:c r="E43" s="268"/>
      <x:c r="F43" s="268"/>
      <x:c r="G43" s="268"/>
      <x:c r="H43" s="268"/>
      <x:c r="I43" s="268"/>
      <x:c r="J43" s="268"/>
      <x:c r="K43" s="268"/>
      <x:c r="L43" s="268"/>
      <x:c r="M43" s="268"/>
      <x:c r="N43" s="268"/>
      <x:c r="O43" s="268"/>
      <x:c r="P43" s="268"/>
    </x:row>
    <x:row r="44" ht="25" customHeight="1">
      <x:c r="B44" s="271" t="str">
        <x:v>Part 1 to Part 2 profit bridge</x:v>
      </x:c>
      <x:c r="C44" s="271"/>
      <x:c r="D44" s="281"/>
      <x:c r="E44" s="281"/>
      <x:c r="F44" s="281"/>
      <x:c r="G44" s="281"/>
      <x:c r="H44" s="281"/>
      <x:c r="I44" s="281"/>
      <x:c r="J44" s="281"/>
      <x:c r="K44" s="281"/>
      <x:c r="L44" s="281"/>
      <x:c r="M44" s="281"/>
      <x:c r="N44" s="281"/>
      <x:c r="O44" s="281"/>
      <x:c r="P44" s="281"/>
    </x:row>
    <x:row r="45">
      <x:c r="B45" s="163" t="str">
        <x:v>Part 1 reported profit</x:v>
      </x:c>
      <x:c r="C45" s="163"/>
      <x:c r="D45" s="268" t="n">
        <x:f>'10 Corrected Budget'!D12</x:f>
        <x:v>-6355</x:v>
      </x:c>
      <x:c r="E45" s="268" t="n">
        <x:f>'10 Corrected Budget'!E12</x:f>
        <x:v>-5065.9375</x:v>
      </x:c>
      <x:c r="F45" s="268" t="n">
        <x:f>'10 Corrected Budget'!F12</x:f>
        <x:v>-5765.3125</x:v>
      </x:c>
      <x:c r="G45" s="268" t="n">
        <x:f>'10 Corrected Budget'!G12</x:f>
        <x:v>-6384.40625</x:v>
      </x:c>
      <x:c r="H45" s="268" t="n">
        <x:f>'10 Corrected Budget'!H12</x:f>
        <x:v>-7716.979166666668</x:v>
      </x:c>
      <x:c r="I45" s="268" t="n">
        <x:f>'10 Corrected Budget'!I12</x:f>
        <x:v>-13217.604166666668</x:v>
      </x:c>
      <x:c r="J45" s="268" t="n">
        <x:f>'10 Corrected Budget'!J12</x:f>
        <x:v>-16734.010416666668</x:v>
      </x:c>
      <x:c r="K45" s="268" t="n">
        <x:f>'10 Corrected Budget'!K12</x:f>
        <x:v>-11526.979166666668</x:v>
      </x:c>
      <x:c r="L45" s="268" t="n">
        <x:f>'10 Corrected Budget'!L12</x:f>
        <x:v>-1872.6041666666679</x:v>
      </x:c>
      <x:c r="M45" s="268" t="n">
        <x:f>'10 Corrected Budget'!M12</x:f>
        <x:v>849.2145833333307</x:v>
      </x:c>
      <x:c r="N45" s="268" t="n">
        <x:f>'10 Corrected Budget'!N12</x:f>
        <x:v>-8594.391666666666</x:v>
      </x:c>
      <x:c r="O45" s="268" t="n">
        <x:f>'10 Corrected Budget'!O12</x:f>
        <x:v>-10176.979166666668</x:v>
      </x:c>
      <x:c r="P45" s="268" t="n">
        <x:f>SUM(D45:O45)</x:f>
        <x:v>-92560.98958333334</x:v>
      </x:c>
    </x:row>
    <x:row r="46">
      <x:c r="B46" s="163" t="str">
        <x:v>D1 Anna recovery after costs</x:v>
      </x:c>
      <x:c r="C46" s="163"/>
      <x:c r="D46" s="268" t="n">
        <x:f>'16 P2 Workings'!D15</x:f>
        <x:v>0</x:v>
      </x:c>
      <x:c r="E46" s="268" t="n">
        <x:f>'16 P2 Workings'!E15</x:f>
        <x:v>0</x:v>
      </x:c>
      <x:c r="F46" s="268" t="n">
        <x:f>'16 P2 Workings'!F15</x:f>
        <x:v>1377.5</x:v>
      </x:c>
      <x:c r="G46" s="268" t="n">
        <x:f>'16 P2 Workings'!G15</x:f>
        <x:v>2848.125</x:v>
      </x:c>
      <x:c r="H46" s="268" t="n">
        <x:f>'16 P2 Workings'!H15</x:f>
        <x:v>1095.625</x:v>
      </x:c>
      <x:c r="I46" s="268" t="n">
        <x:f>'16 P2 Workings'!I15</x:f>
        <x:v>406.875</x:v>
      </x:c>
      <x:c r="J46" s="268" t="n">
        <x:f>'16 P2 Workings'!J15</x:f>
        <x:v>189.4375</x:v>
      </x:c>
      <x:c r="K46" s="268" t="n">
        <x:f>'16 P2 Workings'!K15</x:f>
        <x:v>0</x:v>
      </x:c>
      <x:c r="L46" s="268" t="n">
        <x:f>'16 P2 Workings'!L15</x:f>
        <x:v>-770</x:v>
      </x:c>
      <x:c r="M46" s="268" t="n">
        <x:f>'16 P2 Workings'!M15</x:f>
        <x:v>0</x:v>
      </x:c>
      <x:c r="N46" s="268" t="n">
        <x:f>'16 P2 Workings'!N15</x:f>
        <x:v>-250</x:v>
      </x:c>
      <x:c r="O46" s="268" t="n">
        <x:f>'16 P2 Workings'!O15</x:f>
        <x:v>0</x:v>
      </x:c>
      <x:c r="P46" s="268" t="n">
        <x:f>SUM(D46:O46)</x:f>
        <x:v>4897.5625</x:v>
      </x:c>
    </x:row>
    <x:row r="47">
      <x:c r="B47" s="163" t="str">
        <x:v>D2 premium events after setup</x:v>
      </x:c>
      <x:c r="C47" s="163"/>
      <x:c r="D47" s="268" t="n">
        <x:f>'16 P2 Workings'!D26</x:f>
        <x:v>-1000</x:v>
      </x:c>
      <x:c r="E47" s="268" t="n">
        <x:f>'16 P2 Workings'!E26</x:f>
        <x:v>4960</x:v>
      </x:c>
      <x:c r="F47" s="268" t="n">
        <x:f>'16 P2 Workings'!F26</x:f>
        <x:v>0</x:v>
      </x:c>
      <x:c r="G47" s="268" t="n">
        <x:f>'16 P2 Workings'!G26</x:f>
        <x:v>4420</x:v>
      </x:c>
      <x:c r="H47" s="268" t="n">
        <x:f>'16 P2 Workings'!H26</x:f>
        <x:v>0</x:v>
      </x:c>
      <x:c r="I47" s="268" t="n">
        <x:f>'16 P2 Workings'!I26</x:f>
        <x:v>4420</x:v>
      </x:c>
      <x:c r="J47" s="268" t="n">
        <x:f>'16 P2 Workings'!J26</x:f>
        <x:v>0</x:v>
      </x:c>
      <x:c r="K47" s="268" t="n">
        <x:f>'16 P2 Workings'!K26</x:f>
        <x:v>0</x:v>
      </x:c>
      <x:c r="L47" s="268" t="n">
        <x:f>'16 P2 Workings'!L26</x:f>
        <x:v>0</x:v>
      </x:c>
      <x:c r="M47" s="268" t="n">
        <x:f>'16 P2 Workings'!M26</x:f>
        <x:v>0</x:v>
      </x:c>
      <x:c r="N47" s="268" t="n">
        <x:f>'16 P2 Workings'!N26</x:f>
        <x:v>0</x:v>
      </x:c>
      <x:c r="O47" s="268" t="n">
        <x:f>'16 P2 Workings'!O26</x:f>
        <x:v>5360</x:v>
      </x:c>
      <x:c r="P47" s="268" t="n">
        <x:f>SUM(D47:O47)</x:f>
        <x:v>18160</x:v>
      </x:c>
    </x:row>
    <x:row r="48">
      <x:c r="B48" s="163" t="str">
        <x:v>D3 internal saving after training</x:v>
      </x:c>
      <x:c r="C48" s="163"/>
      <x:c r="D48" s="268" t="n">
        <x:f>'16 P2 Workings'!D38</x:f>
        <x:v>0</x:v>
      </x:c>
      <x:c r="E48" s="268" t="n">
        <x:f>'16 P2 Workings'!E38</x:f>
        <x:v>-1000</x:v>
      </x:c>
      <x:c r="F48" s="268" t="n">
        <x:f>'16 P2 Workings'!F38</x:f>
        <x:v>5125</x:v>
      </x:c>
      <x:c r="G48" s="268" t="n">
        <x:f>'16 P2 Workings'!G38</x:f>
        <x:v>5125</x:v>
      </x:c>
      <x:c r="H48" s="268" t="n">
        <x:f>'16 P2 Workings'!H38</x:f>
        <x:v>5125</x:v>
      </x:c>
      <x:c r="I48" s="268" t="n">
        <x:f>'16 P2 Workings'!I38</x:f>
        <x:v>3997.500000000001</x:v>
      </x:c>
      <x:c r="J48" s="268" t="n">
        <x:f>'16 P2 Workings'!J38</x:f>
        <x:v>2330.0000000000005</x:v>
      </x:c>
      <x:c r="K48" s="268" t="n">
        <x:f>'16 P2 Workings'!K38</x:f>
        <x:v>3495.000000000001</x:v>
      </x:c>
      <x:c r="L48" s="268" t="n">
        <x:f>'16 P2 Workings'!L38</x:f>
        <x:v>6990.000000000002</x:v>
      </x:c>
      <x:c r="M48" s="268" t="n">
        <x:f>'16 P2 Workings'!M38</x:f>
        <x:v>6990.000000000002</x:v>
      </x:c>
      <x:c r="N48" s="268" t="n">
        <x:f>'16 P2 Workings'!N38</x:f>
        <x:v>5755.1</x:v>
      </x:c>
      <x:c r="O48" s="268" t="n">
        <x:f>'16 P2 Workings'!O38</x:f>
        <x:v>5825.000000000001</x:v>
      </x:c>
      <x:c r="P48" s="268" t="n">
        <x:f>SUM(D48:O48)</x:f>
        <x:v>49757.6</x:v>
      </x:c>
    </x:row>
    <x:row r="49">
      <x:c r="B49" s="276" t="str">
        <x:v>Part 2 profit from bridge</x:v>
      </x:c>
      <x:c r="C49" s="276"/>
      <x:c r="D49" s="277" t="n">
        <x:f>SUM(D45:D48)</x:f>
        <x:v>-7355</x:v>
      </x:c>
      <x:c r="E49" s="277" t="n">
        <x:f>SUM(E45:E48)</x:f>
        <x:v>-1105.9375</x:v>
      </x:c>
      <x:c r="F49" s="277" t="n">
        <x:f>SUM(F45:F48)</x:f>
        <x:v>737.1875</x:v>
      </x:c>
      <x:c r="G49" s="277" t="n">
        <x:f>SUM(G45:G48)</x:f>
        <x:v>6008.71875</x:v>
      </x:c>
      <x:c r="H49" s="277" t="n">
        <x:f>SUM(H45:H48)</x:f>
        <x:v>-1496.3541666666679</x:v>
      </x:c>
      <x:c r="I49" s="277" t="n">
        <x:f>SUM(I45:I48)</x:f>
        <x:v>-4393.229166666667</x:v>
      </x:c>
      <x:c r="J49" s="277" t="n">
        <x:f>SUM(J45:J48)</x:f>
        <x:v>-14214.572916666668</x:v>
      </x:c>
      <x:c r="K49" s="277" t="n">
        <x:f>SUM(K45:K48)</x:f>
        <x:v>-8031.979166666667</x:v>
      </x:c>
      <x:c r="L49" s="277" t="n">
        <x:f>SUM(L45:L48)</x:f>
        <x:v>4347.395833333334</x:v>
      </x:c>
      <x:c r="M49" s="277" t="n">
        <x:f>SUM(M45:M48)</x:f>
        <x:v>7839.2145833333325</x:v>
      </x:c>
      <x:c r="N49" s="277" t="n">
        <x:f>SUM(N45:N48)</x:f>
        <x:v>-3089.291666666666</x:v>
      </x:c>
      <x:c r="O49" s="277" t="n">
        <x:f>SUM(O45:O48)</x:f>
        <x:v>1008.020833333333</x:v>
      </x:c>
      <x:c r="P49" s="277" t="n">
        <x:f>SUM(D49:O49)</x:f>
        <x:v>-19745.827083333334</x:v>
      </x:c>
    </x:row>
    <x:row r="50">
      <x:c r="B50" s="276" t="str">
        <x:v>Part 2 reported profit</x:v>
      </x:c>
      <x:c r="C50" s="276"/>
      <x:c r="D50" s="277" t="n">
        <x:f>'12 Management Budget'!D12</x:f>
        <x:v>-7355</x:v>
      </x:c>
      <x:c r="E50" s="277" t="n">
        <x:f>'12 Management Budget'!E12</x:f>
        <x:v>-1105.9375</x:v>
      </x:c>
      <x:c r="F50" s="277" t="n">
        <x:f>'12 Management Budget'!F12</x:f>
        <x:v>737.1875</x:v>
      </x:c>
      <x:c r="G50" s="277" t="n">
        <x:f>'12 Management Budget'!G12</x:f>
        <x:v>6008.71875</x:v>
      </x:c>
      <x:c r="H50" s="277" t="n">
        <x:f>'12 Management Budget'!H12</x:f>
        <x:v>-1496.3541666666679</x:v>
      </x:c>
      <x:c r="I50" s="277" t="n">
        <x:f>'12 Management Budget'!I12</x:f>
        <x:v>-4393.229166666668</x:v>
      </x:c>
      <x:c r="J50" s="277" t="n">
        <x:f>'12 Management Budget'!J12</x:f>
        <x:v>-14214.572916666668</x:v>
      </x:c>
      <x:c r="K50" s="277" t="n">
        <x:f>'12 Management Budget'!K12</x:f>
        <x:v>-8031.979166666668</x:v>
      </x:c>
      <x:c r="L50" s="277" t="n">
        <x:f>'12 Management Budget'!L12</x:f>
        <x:v>4347.395833333332</x:v>
      </x:c>
      <x:c r="M50" s="277" t="n">
        <x:f>'12 Management Budget'!M12</x:f>
        <x:v>7839.214583333331</x:v>
      </x:c>
      <x:c r="N50" s="277" t="n">
        <x:f>'12 Management Budget'!N12</x:f>
        <x:v>-3089.291666666668</x:v>
      </x:c>
      <x:c r="O50" s="277" t="n">
        <x:f>'12 Management Budget'!O12</x:f>
        <x:v>1008.0208333333321</x:v>
      </x:c>
      <x:c r="P50" s="277" t="n">
        <x:f>SUM(D50:O50)</x:f>
        <x:v>-19745.827083333344</x:v>
      </x:c>
    </x:row>
    <x:row r="51">
      <x:c r="B51" s="163" t="str">
        <x:v>Bridge difference</x:v>
      </x:c>
      <x:c r="C51" s="163"/>
      <x:c r="D51" s="280" t="n">
        <x:f>ROUND(D49-D50,6)</x:f>
        <x:v>0</x:v>
      </x:c>
      <x:c r="E51" s="280" t="n">
        <x:f>ROUND(E49-E50,6)</x:f>
        <x:v>0</x:v>
      </x:c>
      <x:c r="F51" s="280" t="n">
        <x:f>ROUND(F49-F50,6)</x:f>
        <x:v>0</x:v>
      </x:c>
      <x:c r="G51" s="280" t="n">
        <x:f>ROUND(G49-G50,6)</x:f>
        <x:v>0</x:v>
      </x:c>
      <x:c r="H51" s="280" t="n">
        <x:f>ROUND(H49-H50,6)</x:f>
        <x:v>0</x:v>
      </x:c>
      <x:c r="I51" s="280" t="n">
        <x:f>ROUND(I49-I50,6)</x:f>
        <x:v>0</x:v>
      </x:c>
      <x:c r="J51" s="280" t="n">
        <x:f>ROUND(J49-J50,6)</x:f>
        <x:v>0</x:v>
      </x:c>
      <x:c r="K51" s="280" t="n">
        <x:f>ROUND(K49-K50,6)</x:f>
        <x:v>0</x:v>
      </x:c>
      <x:c r="L51" s="280" t="n">
        <x:f>ROUND(L49-L50,6)</x:f>
        <x:v>0</x:v>
      </x:c>
      <x:c r="M51" s="280" t="n">
        <x:f>ROUND(M49-M50,6)</x:f>
        <x:v>0</x:v>
      </x:c>
      <x:c r="N51" s="280" t="n">
        <x:f>ROUND(N49-N50,6)</x:f>
        <x:v>0</x:v>
      </x:c>
      <x:c r="O51" s="280" t="n">
        <x:f>ROUND(O49-O50,6)</x:f>
        <x:v>0</x:v>
      </x:c>
      <x:c r="P51" s="280" t="n">
        <x:f>SUM(D51:O51)</x:f>
        <x:v>0</x:v>
      </x:c>
    </x:row>
    <x:row r="52">
      <x:c r="B52" s="163"/>
      <x:c r="C52" s="163"/>
      <x:c r="D52" s="268"/>
      <x:c r="E52" s="268"/>
      <x:c r="F52" s="268"/>
      <x:c r="G52" s="268"/>
      <x:c r="H52" s="268"/>
      <x:c r="I52" s="268"/>
      <x:c r="J52" s="268"/>
      <x:c r="K52" s="268"/>
      <x:c r="L52" s="268"/>
      <x:c r="M52" s="268"/>
      <x:c r="N52" s="268"/>
      <x:c r="O52" s="268"/>
      <x:c r="P52" s="268"/>
    </x:row>
    <x:row r="53" ht="40" customHeight="1">
      <x:c r="B53" s="267" t="str">
        <x:v>Draft to Part 1: staffing and plausible demand reduce sales; all forecast delivery is costed. Part 1 leaves existing decisions intact.</x:v>
      </x:c>
      <x:c r="C53" s="267"/>
      <x:c r="D53" s="282"/>
      <x:c r="E53" s="282"/>
      <x:c r="F53" s="282"/>
      <x:c r="G53" s="282"/>
      <x:c r="H53" s="282"/>
      <x:c r="I53" s="282"/>
      <x:c r="J53" s="282"/>
      <x:c r="K53" s="282"/>
      <x:c r="L53" s="282"/>
      <x:c r="M53" s="282"/>
      <x:c r="N53" s="282"/>
      <x:c r="O53" s="282"/>
      <x:c r="P53" s="282"/>
    </x:row>
    <x:row r="54">
      <x:c r="B54" s="163"/>
      <x:c r="C54" s="163"/>
      <x:c r="D54" s="268"/>
      <x:c r="E54" s="268"/>
      <x:c r="F54" s="268"/>
      <x:c r="G54" s="268"/>
      <x:c r="H54" s="268"/>
      <x:c r="I54" s="268"/>
      <x:c r="J54" s="268"/>
      <x:c r="K54" s="268"/>
      <x:c r="L54" s="268"/>
      <x:c r="M54" s="268"/>
      <x:c r="N54" s="268"/>
      <x:c r="O54" s="268"/>
      <x:c r="P54" s="268"/>
    </x:row>
    <x:row r="55" ht="40" customHeight="1">
      <x:c r="B55" s="267" t="str">
        <x:v>Part 1 to Part 2: add only distinct recovered contracts and four new premium dates, price every expense, and substitute qualified internal lead days once. The annual loss remains.</x:v>
      </x:c>
      <x:c r="C55" s="267"/>
      <x:c r="D55" s="282"/>
      <x:c r="E55" s="282"/>
      <x:c r="F55" s="282"/>
      <x:c r="G55" s="282"/>
      <x:c r="H55" s="282"/>
      <x:c r="I55" s="282"/>
      <x:c r="J55" s="282"/>
      <x:c r="K55" s="282"/>
      <x:c r="L55" s="282"/>
      <x:c r="M55" s="282"/>
      <x:c r="N55" s="282"/>
      <x:c r="O55" s="282"/>
      <x:c r="P55" s="282"/>
    </x:row>
  </x:sheetData>
  <x:mergeCells>
    <x:mergeCell ref="B53:P53"/>
    <x:mergeCell ref="B55:P55"/>
  </x:mergeCells>
  <x:conditionalFormatting sqref="D42:P42">
    <x:cfRule type="expression" dxfId="2" priority="1">
      <x:formula>ABS(D42)&gt;0.005</x:formula>
    </x:cfRule>
  </x:conditionalFormatting>
  <x:conditionalFormatting sqref="D51:P51">
    <x:cfRule type="expression" dxfId="3" priority="2">
      <x:formula>ABS(D51)&gt;0.005</x:formula>
    </x:cfRule>
  </x:conditionalFormatting>
  <x:pageMargins left="0.7" right="0.7" top="0.75" bottom="0.75" header="0.3" footer="0.3"/>
</x:worksheet>
</file>

<file path=xl/worksheets/sheet15.xml><?xml version="1.0" encoding="utf-8"?>
<x:worksheet xmlns:x="http://schemas.openxmlformats.org/spreadsheetml/2006/main">
  <x:sheetPr>
    <x:tabColor rgb="FF4B7184"/>
  </x:sheetPr>
  <x:sheetViews>
    <x:sheetView showGridLines="0" workbookViewId="0">
      <x:pane xSplit="3" ySplit="6" topLeftCell="D7" activePane="bottomRight" state="frozen"/>
    </x:sheetView>
  </x:sheetViews>
  <x:sheetFormatPr defaultRowHeight="15"/>
  <x:cols>
    <x:col min="2" max="2" width="38" hidden="0" customWidth="1"/>
    <x:col min="3" max="3" width="5"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5" hidden="0" customWidth="1"/>
    <x:col min="17" max="17" width="3" hidden="0" customWidth="1"/>
    <x:col min="18" max="18" width="74" hidden="0" customWidth="1"/>
  </x:cols>
  <x:sheetData>
    <x:row r="2">
      <x:c r="B2" s="166" t="str">
        <x:v>Budget drivers</x:v>
      </x:c>
      <x:c r="C2" s="167"/>
      <x:c r="D2" s="167"/>
      <x:c r="E2" s="167"/>
      <x:c r="F2" s="167"/>
      <x:c r="G2" s="167"/>
      <x:c r="H2" s="167"/>
      <x:c r="I2" s="167"/>
      <x:c r="J2" s="167"/>
      <x:c r="K2" s="167"/>
      <x:c r="L2" s="167"/>
      <x:c r="M2" s="167"/>
      <x:c r="N2" s="167"/>
      <x:c r="O2" s="167"/>
      <x:c r="P2" s="167"/>
      <x:c r="Q2" s="164"/>
      <x:c r="R2" s="164"/>
    </x:row>
    <x:row r="3">
      <x:c r="B3" s="168" t="str">
        <x:v>2026 monthly budget. EUR excluding VAT. Costs are negative.</x:v>
      </x:c>
      <x:c r="C3" s="164"/>
      <x:c r="D3" s="164"/>
      <x:c r="E3" s="164"/>
      <x:c r="F3" s="164"/>
      <x:c r="G3" s="164"/>
      <x:c r="H3" s="164"/>
      <x:c r="I3" s="164"/>
      <x:c r="J3" s="164"/>
      <x:c r="K3" s="164"/>
      <x:c r="L3" s="164"/>
      <x:c r="M3" s="164"/>
      <x:c r="N3" s="164"/>
      <x:c r="O3" s="164"/>
      <x:c r="P3" s="164"/>
      <x:c r="Q3" s="164"/>
      <x:c r="R3" s="164"/>
    </x:row>
    <x:row r="4">
      <x:c r="B4" s="168" t="str">
        <x:v>Blue numbers are editable assumptions. Green numbers link to sources. Black formulas calculate locally.</x:v>
      </x:c>
      <x:c r="C4" s="168"/>
      <x:c r="D4" s="168"/>
      <x:c r="E4" s="168"/>
      <x:c r="F4" s="168"/>
      <x:c r="G4" s="168"/>
      <x:c r="H4" s="168"/>
      <x:c r="I4" s="168"/>
      <x:c r="J4" s="168"/>
      <x:c r="K4" s="168"/>
      <x:c r="L4" s="168"/>
      <x:c r="M4" s="168"/>
      <x:c r="N4" s="168"/>
      <x:c r="O4" s="168"/>
      <x:c r="P4" s="168"/>
      <x:c r="Q4" s="164"/>
      <x:c r="R4" s="164"/>
    </x:row>
    <x:row r="5">
      <x:c r="B5" s="164"/>
      <x:c r="C5" s="164"/>
      <x:c r="D5" s="173" t="d">
        <x:v>2026-01-01T00:00:00.000Z</x:v>
      </x:c>
      <x:c r="E5" s="173" t="d">
        <x:v>2026-02-01T00:00:00.000Z</x:v>
      </x:c>
      <x:c r="F5" s="173" t="d">
        <x:v>2026-03-01T00:00:00.000Z</x:v>
      </x:c>
      <x:c r="G5" s="173" t="d">
        <x:v>2026-04-01T00:00:00.000Z</x:v>
      </x:c>
      <x:c r="H5" s="173" t="d">
        <x:v>2026-05-01T00:00:00.000Z</x:v>
      </x:c>
      <x:c r="I5" s="173" t="d">
        <x:v>2026-06-01T00:00:00.000Z</x:v>
      </x:c>
      <x:c r="J5" s="173" t="d">
        <x:v>2026-07-01T00:00:00.000Z</x:v>
      </x:c>
      <x:c r="K5" s="173" t="d">
        <x:v>2026-08-01T00:00:00.000Z</x:v>
      </x:c>
      <x:c r="L5" s="173" t="d">
        <x:v>2026-09-01T00:00:00.000Z</x:v>
      </x:c>
      <x:c r="M5" s="173" t="d">
        <x:v>2026-10-01T00:00:00.000Z</x:v>
      </x:c>
      <x:c r="N5" s="173" t="d">
        <x:v>2026-11-01T00:00:00.000Z</x:v>
      </x:c>
      <x:c r="O5" s="173" t="d">
        <x:v>2026-12-01T00:00:00.000Z</x:v>
      </x:c>
      <x:c r="P5" s="164"/>
      <x:c r="Q5" s="164"/>
      <x:c r="R5" s="164"/>
    </x:row>
    <x:row r="6" ht="28" customHeight="1">
      <x:c r="B6" s="171"/>
      <x:c r="C6" s="171"/>
      <x:c r="D6" s="171" t="str">
        <x:v>Jan</x:v>
      </x:c>
      <x:c r="E6" s="171" t="str">
        <x:v>Feb</x:v>
      </x:c>
      <x:c r="F6" s="171" t="str">
        <x:v>Mar</x:v>
      </x:c>
      <x:c r="G6" s="171" t="str">
        <x:v>Apr</x:v>
      </x:c>
      <x:c r="H6" s="171" t="str">
        <x:v>May</x:v>
      </x:c>
      <x:c r="I6" s="171" t="str">
        <x:v>Jun</x:v>
      </x:c>
      <x:c r="J6" s="171" t="str">
        <x:v>Jul</x:v>
      </x:c>
      <x:c r="K6" s="171" t="str">
        <x:v>Aug</x:v>
      </x:c>
      <x:c r="L6" s="171" t="str">
        <x:v>Sep</x:v>
      </x:c>
      <x:c r="M6" s="171" t="str">
        <x:v>Oct</x:v>
      </x:c>
      <x:c r="N6" s="171" t="str">
        <x:v>Nov</x:v>
      </x:c>
      <x:c r="O6" s="171" t="str">
        <x:v>Dec</x:v>
      </x:c>
      <x:c r="P6" s="171" t="str">
        <x:v>FY Total</x:v>
      </x:c>
      <x:c r="Q6" s="164"/>
      <x:c r="R6" s="164"/>
    </x:row>
    <x:row r="7" ht="22" customHeight="1">
      <x:c r="B7" s="164" t="str">
        <x:v>Paid sales headcount</x:v>
      </x:c>
      <x:c r="C7" s="164"/>
      <x:c r="D7" s="178" t="n">
        <x:v>4</x:v>
      </x:c>
      <x:c r="E7" s="178" t="n">
        <x:v>4</x:v>
      </x:c>
      <x:c r="F7" s="178" t="n">
        <x:v>3</x:v>
      </x:c>
      <x:c r="G7" s="178" t="n">
        <x:v>3</x:v>
      </x:c>
      <x:c r="H7" s="178" t="n">
        <x:v>4</x:v>
      </x:c>
      <x:c r="I7" s="178" t="n">
        <x:v>4</x:v>
      </x:c>
      <x:c r="J7" s="178" t="n">
        <x:v>4</x:v>
      </x:c>
      <x:c r="K7" s="178" t="n">
        <x:v>4</x:v>
      </x:c>
      <x:c r="L7" s="178" t="n">
        <x:v>4</x:v>
      </x:c>
      <x:c r="M7" s="178" t="n">
        <x:v>4</x:v>
      </x:c>
      <x:c r="N7" s="178" t="n">
        <x:v>4</x:v>
      </x:c>
      <x:c r="O7" s="178" t="n">
        <x:v>4</x:v>
      </x:c>
      <x:c r="P7" s="174"/>
      <x:c r="Q7" s="164"/>
      <x:c r="R7" s="188" t="str">
        <x:v>06 HR Table 1: Anna exits 28 Feb. Ella starts 1 May. No partial months.</x:v>
      </x:c>
    </x:row>
    <x:row r="8" ht="22" customHeight="1">
      <x:c r="B8" s="164" t="str">
        <x:v>Ella replacement productivity</x:v>
      </x:c>
      <x:c r="C8" s="164"/>
      <x:c r="D8" s="177" t="n">
        <x:v>0</x:v>
      </x:c>
      <x:c r="E8" s="177" t="n">
        <x:v>0</x:v>
      </x:c>
      <x:c r="F8" s="177" t="n">
        <x:v>0</x:v>
      </x:c>
      <x:c r="G8" s="177" t="n">
        <x:v>0</x:v>
      </x:c>
      <x:c r="H8" s="177" t="n">
        <x:v>0</x:v>
      </x:c>
      <x:c r="I8" s="177" t="n">
        <x:v>0.25</x:v>
      </x:c>
      <x:c r="J8" s="177" t="n">
        <x:v>0.5</x:v>
      </x:c>
      <x:c r="K8" s="177" t="n">
        <x:v>1</x:v>
      </x:c>
      <x:c r="L8" s="177" t="n">
        <x:v>1</x:v>
      </x:c>
      <x:c r="M8" s="177" t="n">
        <x:v>1</x:v>
      </x:c>
      <x:c r="N8" s="177" t="n">
        <x:v>1</x:v>
      </x:c>
      <x:c r="O8" s="177" t="n">
        <x:v>1</x:v>
      </x:c>
      <x:c r="P8" s="174"/>
      <x:c r="Q8" s="164"/>
      <x:c r="R8" s="188" t="str">
        <x:v>06 HR Table 1; 03 Sales P9. Ramp 25% Jun, 50% Jul, 100% Aug onward is an assumption.</x:v>
      </x:c>
    </x:row>
    <x:row r="9" ht="22" customHeight="1">
      <x:c r="B9" s="164" t="str">
        <x:v>External instructor daily fee</x:v>
      </x:c>
      <x:c r="C9" s="164"/>
      <x:c r="D9" s="174" t="n">
        <x:f>$D$28*IF(MONTH(D5)&gt;=7,1+$D$29,1)</x:f>
        <x:v>700</x:v>
      </x:c>
      <x:c r="E9" s="174" t="n">
        <x:f>$D$28*IF(MONTH(E5)&gt;=7,1+$D$29,1)</x:f>
        <x:v>700</x:v>
      </x:c>
      <x:c r="F9" s="174" t="n">
        <x:f>$D$28*IF(MONTH(F5)&gt;=7,1+$D$29,1)</x:f>
        <x:v>700</x:v>
      </x:c>
      <x:c r="G9" s="174" t="n">
        <x:f>$D$28*IF(MONTH(G5)&gt;=7,1+$D$29,1)</x:f>
        <x:v>700</x:v>
      </x:c>
      <x:c r="H9" s="174" t="n">
        <x:f>$D$28*IF(MONTH(H5)&gt;=7,1+$D$29,1)</x:f>
        <x:v>700</x:v>
      </x:c>
      <x:c r="I9" s="174" t="n">
        <x:f>$D$28*IF(MONTH(I5)&gt;=7,1+$D$29,1)</x:f>
        <x:v>700</x:v>
      </x:c>
      <x:c r="J9" s="174" t="n">
        <x:f>$D$28*IF(MONTH(J5)&gt;=7,1+$D$29,1)</x:f>
        <x:v>770.0000000000001</x:v>
      </x:c>
      <x:c r="K9" s="174" t="n">
        <x:f>$D$28*IF(MONTH(K5)&gt;=7,1+$D$29,1)</x:f>
        <x:v>770.0000000000001</x:v>
      </x:c>
      <x:c r="L9" s="174" t="n">
        <x:f>$D$28*IF(MONTH(L5)&gt;=7,1+$D$29,1)</x:f>
        <x:v>770.0000000000001</x:v>
      </x:c>
      <x:c r="M9" s="174" t="n">
        <x:f>$D$28*IF(MONTH(M5)&gt;=7,1+$D$29,1)</x:f>
        <x:v>770.0000000000001</x:v>
      </x:c>
      <x:c r="N9" s="174" t="n">
        <x:f>$D$28*IF(MONTH(N5)&gt;=7,1+$D$29,1)</x:f>
        <x:v>770.0000000000001</x:v>
      </x:c>
      <x:c r="O9" s="174" t="n">
        <x:f>$D$28*IF(MONTH(O5)&gt;=7,1+$D$29,1)</x:f>
        <x:v>770.0000000000001</x:v>
      </x:c>
      <x:c r="P9" s="174"/>
      <x:c r="Q9" s="164"/>
      <x:c r="R9" s="188" t="str">
        <x:v>07 Finance P5: EUR 700 through June, +10% from July.</x:v>
      </x:c>
    </x:row>
    <x:row r="10" ht="22" customHeight="1">
      <x:c r="B10" s="164" t="str">
        <x:v>Senior instructor available days</x:v>
      </x:c>
      <x:c r="C10" s="164"/>
      <x:c r="D10" s="178" t="n">
        <x:v>12</x:v>
      </x:c>
      <x:c r="E10" s="178" t="n">
        <x:v>12</x:v>
      </x:c>
      <x:c r="F10" s="178" t="n">
        <x:v>12</x:v>
      </x:c>
      <x:c r="G10" s="178" t="n">
        <x:v>12</x:v>
      </x:c>
      <x:c r="H10" s="178" t="n">
        <x:v>12</x:v>
      </x:c>
      <x:c r="I10" s="178" t="n">
        <x:v>12</x:v>
      </x:c>
      <x:c r="J10" s="178" t="n">
        <x:v>6</x:v>
      </x:c>
      <x:c r="K10" s="178" t="n">
        <x:v>8</x:v>
      </x:c>
      <x:c r="L10" s="178" t="n">
        <x:v>14</x:v>
      </x:c>
      <x:c r="M10" s="178" t="n">
        <x:v>14</x:v>
      </x:c>
      <x:c r="N10" s="178" t="n">
        <x:v>12</x:v>
      </x:c>
      <x:c r="O10" s="178" t="n">
        <x:v>12</x:v>
      </x:c>
      <x:c r="P10" s="174"/>
      <x:c r="Q10" s="164"/>
      <x:c r="R10" s="188" t="str">
        <x:v>05 Operations Table 1: 12 normal, 6 Jul, 8 Aug, 14 Sep/Oct.</x:v>
      </x:c>
    </x:row>
    <x:row r="11" ht="22" customHeight="1">
      <x:c r="B11" s="164" t="str">
        <x:v>Senior instructor reserved days</x:v>
      </x:c>
      <x:c r="C11" s="164"/>
      <x:c r="D11" s="179" t="n">
        <x:f>$D$44</x:f>
        <x:v>2</x:v>
      </x:c>
      <x:c r="E11" s="179" t="n">
        <x:f>$D$44</x:f>
        <x:v>2</x:v>
      </x:c>
      <x:c r="F11" s="179" t="n">
        <x:f>$D$44</x:f>
        <x:v>2</x:v>
      </x:c>
      <x:c r="G11" s="179" t="n">
        <x:f>$D$44</x:f>
        <x:v>2</x:v>
      </x:c>
      <x:c r="H11" s="179" t="n">
        <x:f>$D$44</x:f>
        <x:v>2</x:v>
      </x:c>
      <x:c r="I11" s="179" t="n">
        <x:f>$D$44</x:f>
        <x:v>2</x:v>
      </x:c>
      <x:c r="J11" s="179" t="n">
        <x:f>$D$44</x:f>
        <x:v>2</x:v>
      </x:c>
      <x:c r="K11" s="179" t="n">
        <x:f>$D$44</x:f>
        <x:v>2</x:v>
      </x:c>
      <x:c r="L11" s="179" t="n">
        <x:f>$D$44</x:f>
        <x:v>2</x:v>
      </x:c>
      <x:c r="M11" s="179" t="n">
        <x:f>$D$44</x:f>
        <x:v>2</x:v>
      </x:c>
      <x:c r="N11" s="179" t="n">
        <x:f>$D$44</x:f>
        <x:v>2</x:v>
      </x:c>
      <x:c r="O11" s="179" t="n">
        <x:f>$D$44</x:f>
        <x:v>2</x:v>
      </x:c>
      <x:c r="P11" s="174"/>
      <x:c r="Q11" s="164"/>
      <x:c r="R11" s="188" t="str">
        <x:v>Part 2 decision: reserve 2 delivery days for preparation and disruption.</x:v>
      </x:c>
    </x:row>
    <x:row r="12" ht="22" customHeight="1">
      <x:c r="B12" s="164" t="str">
        <x:v>Internal allocation enabled (Part 2)</x:v>
      </x:c>
      <x:c r="C12" s="164"/>
      <x:c r="D12" s="178" t="n">
        <x:v>0</x:v>
      </x:c>
      <x:c r="E12" s="178" t="n">
        <x:v>0</x:v>
      </x:c>
      <x:c r="F12" s="178" t="n">
        <x:v>1</x:v>
      </x:c>
      <x:c r="G12" s="178" t="n">
        <x:v>1</x:v>
      </x:c>
      <x:c r="H12" s="178" t="n">
        <x:v>1</x:v>
      </x:c>
      <x:c r="I12" s="178" t="n">
        <x:v>1</x:v>
      </x:c>
      <x:c r="J12" s="178" t="n">
        <x:v>1</x:v>
      </x:c>
      <x:c r="K12" s="178" t="n">
        <x:v>1</x:v>
      </x:c>
      <x:c r="L12" s="178" t="n">
        <x:v>1</x:v>
      </x:c>
      <x:c r="M12" s="178" t="n">
        <x:v>1</x:v>
      </x:c>
      <x:c r="N12" s="178" t="n">
        <x:v>1</x:v>
      </x:c>
      <x:c r="O12" s="178" t="n">
        <x:v>1</x:v>
      </x:c>
      <x:c r="P12" s="174"/>
      <x:c r="Q12" s="164"/>
      <x:c r="R12" s="188" t="str">
        <x:v>Part 2 decision: no substitution before training in February; competence condition.</x:v>
      </x:c>
    </x:row>
    <x:row r="13" ht="22" customHeight="1">
      <x:c r="B13" s="164" t="str">
        <x:v>Additional premium open events (Part 2)</x:v>
      </x:c>
      <x:c r="C13" s="164"/>
      <x:c r="D13" s="178" t="n">
        <x:v>0</x:v>
      </x:c>
      <x:c r="E13" s="178" t="n">
        <x:v>1</x:v>
      </x:c>
      <x:c r="F13" s="178" t="n">
        <x:v>0</x:v>
      </x:c>
      <x:c r="G13" s="178" t="n">
        <x:v>1</x:v>
      </x:c>
      <x:c r="H13" s="178" t="n">
        <x:v>0</x:v>
      </x:c>
      <x:c r="I13" s="178" t="n">
        <x:v>1</x:v>
      </x:c>
      <x:c r="J13" s="178" t="n">
        <x:v>0</x:v>
      </x:c>
      <x:c r="K13" s="178" t="n">
        <x:v>0</x:v>
      </x:c>
      <x:c r="L13" s="178" t="n">
        <x:v>0</x:v>
      </x:c>
      <x:c r="M13" s="178" t="n">
        <x:v>0</x:v>
      </x:c>
      <x:c r="N13" s="178" t="n">
        <x:v>0</x:v>
      </x:c>
      <x:c r="O13" s="178" t="n">
        <x:v>1</x:v>
      </x:c>
      <x:c r="P13" s="174"/>
      <x:c r="Q13" s="164"/>
      <x:c r="R13" s="188" t="str">
        <x:v>Part 2 calendar decision: Feb, Apr, Jun, Dec. Existing Part 1 calendar remains.</x:v>
      </x:c>
    </x:row>
    <x:row r="14" ht="22" customHeight="1">
      <x:c r="B14" s="183" t="str">
        <x:v>Open-event setup expense (Part 2)</x:v>
      </x:c>
      <x:c r="C14" s="183"/>
      <x:c r="D14" s="184" t="n">
        <x:v>1000</x:v>
      </x:c>
      <x:c r="E14" s="184" t="n">
        <x:v>0</x:v>
      </x:c>
      <x:c r="F14" s="184" t="n">
        <x:v>0</x:v>
      </x:c>
      <x:c r="G14" s="184" t="n">
        <x:v>0</x:v>
      </x:c>
      <x:c r="H14" s="184" t="n">
        <x:v>0</x:v>
      </x:c>
      <x:c r="I14" s="184" t="n">
        <x:v>0</x:v>
      </x:c>
      <x:c r="J14" s="184" t="n">
        <x:v>0</x:v>
      </x:c>
      <x:c r="K14" s="184" t="n">
        <x:v>0</x:v>
      </x:c>
      <x:c r="L14" s="184" t="n">
        <x:v>0</x:v>
      </x:c>
      <x:c r="M14" s="184" t="n">
        <x:v>0</x:v>
      </x:c>
      <x:c r="N14" s="184" t="n">
        <x:v>0</x:v>
      </x:c>
      <x:c r="O14" s="184" t="n">
        <x:v>0</x:v>
      </x:c>
      <x:c r="P14" s="185" t="n">
        <x:f>SUM(D14:O14)</x:f>
        <x:v>1000</x:v>
      </x:c>
      <x:c r="Q14" s="164"/>
      <x:c r="R14" s="188" t="str">
        <x:v>Management estimate EUR 1,000 in Jan, incremental to existing marketing.</x:v>
      </x:c>
    </x:row>
    <x:row r="15" ht="22" customHeight="1">
      <x:c r="B15" s="183" t="str">
        <x:v>Senior instructor training expense (Part 2)</x:v>
      </x:c>
      <x:c r="C15" s="183"/>
      <x:c r="D15" s="184" t="n">
        <x:v>0</x:v>
      </x:c>
      <x:c r="E15" s="184" t="n">
        <x:v>1000</x:v>
      </x:c>
      <x:c r="F15" s="184" t="n">
        <x:v>0</x:v>
      </x:c>
      <x:c r="G15" s="184" t="n">
        <x:v>0</x:v>
      </x:c>
      <x:c r="H15" s="184" t="n">
        <x:v>0</x:v>
      </x:c>
      <x:c r="I15" s="184" t="n">
        <x:v>0</x:v>
      </x:c>
      <x:c r="J15" s="184" t="n">
        <x:v>0</x:v>
      </x:c>
      <x:c r="K15" s="184" t="n">
        <x:v>0</x:v>
      </x:c>
      <x:c r="L15" s="184" t="n">
        <x:v>0</x:v>
      </x:c>
      <x:c r="M15" s="184" t="n">
        <x:v>0</x:v>
      </x:c>
      <x:c r="N15" s="184" t="n">
        <x:v>0</x:v>
      </x:c>
      <x:c r="O15" s="184" t="n">
        <x:v>0</x:v>
      </x:c>
      <x:c r="P15" s="185" t="n">
        <x:f>SUM(D15:O15)</x:f>
        <x:v>1000</x:v>
      </x:c>
      <x:c r="Q15" s="164"/>
      <x:c r="R15" s="188" t="str">
        <x:v>Management estimate EUR 1,000 in Feb. Internal substitution starts March.</x:v>
      </x:c>
    </x:row>
    <x:row r="16" ht="22" customHeight="1">
      <x:c r="B16" s="164"/>
      <x:c r="C16" s="164"/>
      <x:c r="D16" s="174"/>
      <x:c r="E16" s="174"/>
      <x:c r="F16" s="174"/>
      <x:c r="G16" s="174"/>
      <x:c r="H16" s="174"/>
      <x:c r="I16" s="174"/>
      <x:c r="J16" s="174"/>
      <x:c r="K16" s="174"/>
      <x:c r="L16" s="174"/>
      <x:c r="M16" s="174"/>
      <x:c r="N16" s="174"/>
      <x:c r="O16" s="174"/>
      <x:c r="P16" s="174"/>
      <x:c r="Q16" s="164"/>
      <x:c r="R16" s="164"/>
    </x:row>
    <x:row r="17" ht="22" customHeight="1">
      <x:c r="B17" s="183" t="str">
        <x:v>Existing monthly marketing appropriation</x:v>
      </x:c>
      <x:c r="C17" s="183"/>
      <x:c r="D17" s="187" t="n">
        <x:f>'07 Draft Operating Costs'!D11</x:f>
        <x:v>5500</x:v>
      </x:c>
      <x:c r="E17" s="187" t="n">
        <x:f>'07 Draft Operating Costs'!E11</x:f>
        <x:v>5000</x:v>
      </x:c>
      <x:c r="F17" s="187" t="n">
        <x:f>'07 Draft Operating Costs'!F11</x:f>
        <x:v>5000</x:v>
      </x:c>
      <x:c r="G17" s="187" t="n">
        <x:f>'07 Draft Operating Costs'!G11</x:f>
        <x:v>4500</x:v>
      </x:c>
      <x:c r="H17" s="187" t="n">
        <x:f>'07 Draft Operating Costs'!H11</x:f>
        <x:v>4000</x:v>
      </x:c>
      <x:c r="I17" s="187" t="n">
        <x:f>'07 Draft Operating Costs'!I11</x:f>
        <x:v>3500</x:v>
      </x:c>
      <x:c r="J17" s="187" t="n">
        <x:f>'07 Draft Operating Costs'!J11</x:f>
        <x:v>2000</x:v>
      </x:c>
      <x:c r="K17" s="187" t="n">
        <x:f>'07 Draft Operating Costs'!K11</x:f>
        <x:v>3000</x:v>
      </x:c>
      <x:c r="L17" s="187" t="n">
        <x:f>'07 Draft Operating Costs'!L11</x:f>
        <x:v>5500</x:v>
      </x:c>
      <x:c r="M17" s="187" t="n">
        <x:f>'07 Draft Operating Costs'!M11</x:f>
        <x:v>6000</x:v>
      </x:c>
      <x:c r="N17" s="187" t="n">
        <x:f>'07 Draft Operating Costs'!N11</x:f>
        <x:v>5000</x:v>
      </x:c>
      <x:c r="O17" s="187" t="n">
        <x:f>'07 Draft Operating Costs'!O11</x:f>
        <x:v>3500</x:v>
      </x:c>
      <x:c r="P17" s="185" t="n">
        <x:f>SUM(D17:O17)</x:f>
        <x:v>52500</x:v>
      </x:c>
      <x:c r="Q17" s="164"/>
      <x:c r="R17" s="164"/>
    </x:row>
    <x:row r="18" ht="22" customHeight="1">
      <x:c r="B18" s="164"/>
      <x:c r="C18" s="164"/>
      <x:c r="D18" s="174"/>
      <x:c r="E18" s="174"/>
      <x:c r="F18" s="174"/>
      <x:c r="G18" s="174"/>
      <x:c r="H18" s="174"/>
      <x:c r="I18" s="174"/>
      <x:c r="J18" s="174"/>
      <x:c r="K18" s="174"/>
      <x:c r="L18" s="174"/>
      <x:c r="M18" s="174"/>
      <x:c r="N18" s="174"/>
      <x:c r="O18" s="174"/>
      <x:c r="P18" s="174"/>
      <x:c r="Q18" s="164"/>
      <x:c r="R18" s="164"/>
    </x:row>
    <x:row r="19" ht="22" customHeight="1">
      <x:c r="B19" s="164"/>
      <x:c r="C19" s="164"/>
      <x:c r="D19" s="174"/>
      <x:c r="E19" s="174"/>
      <x:c r="F19" s="174"/>
      <x:c r="G19" s="174"/>
      <x:c r="H19" s="174"/>
      <x:c r="I19" s="174"/>
      <x:c r="J19" s="174"/>
      <x:c r="K19" s="174"/>
      <x:c r="L19" s="174"/>
      <x:c r="M19" s="174"/>
      <x:c r="N19" s="174"/>
      <x:c r="O19" s="174"/>
      <x:c r="P19" s="174"/>
      <x:c r="Q19" s="164"/>
      <x:c r="R19" s="164"/>
    </x:row>
    <x:row r="20" ht="25" customHeight="1">
      <x:c r="B20" s="170" t="str">
        <x:v>Unit prices, costs and planning assumptions</x:v>
      </x:c>
      <x:c r="C20" s="170"/>
      <x:c r="D20" s="190"/>
      <x:c r="E20" s="190"/>
      <x:c r="F20" s="190"/>
      <x:c r="G20" s="190"/>
      <x:c r="H20" s="190"/>
      <x:c r="I20" s="190"/>
      <x:c r="J20" s="190"/>
      <x:c r="K20" s="190"/>
      <x:c r="L20" s="190"/>
      <x:c r="M20" s="190"/>
      <x:c r="N20" s="190"/>
      <x:c r="O20" s="190"/>
      <x:c r="P20" s="190"/>
      <x:c r="Q20" s="164"/>
      <x:c r="R20" s="164"/>
    </x:row>
    <x:row r="21" ht="22" customHeight="1">
      <x:c r="B21" s="164"/>
      <x:c r="C21" s="164"/>
      <x:c r="D21" s="174"/>
      <x:c r="E21" s="174"/>
      <x:c r="F21" s="174"/>
      <x:c r="G21" s="174"/>
      <x:c r="H21" s="174"/>
      <x:c r="I21" s="174"/>
      <x:c r="J21" s="174"/>
      <x:c r="K21" s="174"/>
      <x:c r="L21" s="174"/>
      <x:c r="M21" s="174"/>
      <x:c r="N21" s="174"/>
      <x:c r="O21" s="174"/>
      <x:c r="P21" s="174"/>
      <x:c r="Q21" s="164"/>
      <x:c r="R21" s="164"/>
    </x:row>
    <x:row r="22" ht="22" customHeight="1">
      <x:c r="B22" s="164" t="str">
        <x:v>Standard corporate daily price</x:v>
      </x:c>
      <x:c r="C22" s="164"/>
      <x:c r="D22" s="176" t="n">
        <x:v>2500</x:v>
      </x:c>
      <x:c r="E22" s="174"/>
      <x:c r="F22" s="174"/>
      <x:c r="G22" s="174"/>
      <x:c r="H22" s="174"/>
      <x:c r="I22" s="174"/>
      <x:c r="J22" s="174"/>
      <x:c r="K22" s="174"/>
      <x:c r="L22" s="174"/>
      <x:c r="M22" s="174"/>
      <x:c r="N22" s="174"/>
      <x:c r="O22" s="174"/>
      <x:c r="P22" s="174"/>
      <x:c r="Q22" s="164"/>
      <x:c r="R22" s="188" t="str">
        <x:v>01 Background Table 1: up to 20 participants.</x:v>
      </x:c>
    </x:row>
    <x:row r="23" ht="22" customHeight="1">
      <x:c r="B23" s="164" t="str">
        <x:v>Large corporate additional-block price</x:v>
      </x:c>
      <x:c r="C23" s="164"/>
      <x:c r="D23" s="176" t="n">
        <x:v>650</x:v>
      </x:c>
      <x:c r="E23" s="174"/>
      <x:c r="F23" s="174"/>
      <x:c r="G23" s="174"/>
      <x:c r="H23" s="174"/>
      <x:c r="I23" s="174"/>
      <x:c r="J23" s="174"/>
      <x:c r="K23" s="174"/>
      <x:c r="L23" s="174"/>
      <x:c r="M23" s="174"/>
      <x:c r="N23" s="174"/>
      <x:c r="O23" s="174"/>
      <x:c r="P23" s="174"/>
      <x:c r="Q23" s="164"/>
      <x:c r="R23" s="188" t="str">
        <x:v>01 Background Table 1: each started block of 10 over first 20.</x:v>
      </x:c>
    </x:row>
    <x:row r="24" ht="22" customHeight="1">
      <x:c r="B24" s="164" t="str">
        <x:v>Residual standard program participants</x:v>
      </x:c>
      <x:c r="C24" s="164"/>
      <x:c r="D24" s="176" t="n">
        <x:v>20</x:v>
      </x:c>
      <x:c r="E24" s="174"/>
      <x:c r="F24" s="174"/>
      <x:c r="G24" s="174"/>
      <x:c r="H24" s="174"/>
      <x:c r="I24" s="174"/>
      <x:c r="J24" s="174"/>
      <x:c r="K24" s="174"/>
      <x:c r="L24" s="174"/>
      <x:c r="M24" s="174"/>
      <x:c r="N24" s="174"/>
      <x:c r="O24" s="174"/>
      <x:c r="P24" s="174"/>
      <x:c r="Q24" s="164"/>
      <x:c r="R24" s="188" t="str">
        <x:v>01 Background Table 1. Modelling assumption: residual programs use full standard group.</x:v>
      </x:c>
    </x:row>
    <x:row r="25" ht="22" customHeight="1">
      <x:c r="B25" s="164" t="str">
        <x:v>Additional block participant size</x:v>
      </x:c>
      <x:c r="C25" s="164"/>
      <x:c r="D25" s="176" t="n">
        <x:v>10</x:v>
      </x:c>
      <x:c r="E25" s="174"/>
      <x:c r="F25" s="174"/>
      <x:c r="G25" s="174"/>
      <x:c r="H25" s="174"/>
      <x:c r="I25" s="174"/>
      <x:c r="J25" s="174"/>
      <x:c r="K25" s="174"/>
      <x:c r="L25" s="174"/>
      <x:c r="M25" s="174"/>
      <x:c r="N25" s="174"/>
      <x:c r="O25" s="174"/>
      <x:c r="P25" s="174"/>
      <x:c r="Q25" s="164"/>
      <x:c r="R25" s="188" t="str">
        <x:v>01 Background Table 1.</x:v>
      </x:c>
    </x:row>
    <x:row r="26" ht="22" customHeight="1">
      <x:c r="B26" s="164" t="str">
        <x:v>Maximum large-program participants</x:v>
      </x:c>
      <x:c r="C26" s="164"/>
      <x:c r="D26" s="176" t="n">
        <x:v>100</x:v>
      </x:c>
      <x:c r="E26" s="174"/>
      <x:c r="F26" s="174"/>
      <x:c r="G26" s="174"/>
      <x:c r="H26" s="174"/>
      <x:c r="I26" s="174"/>
      <x:c r="J26" s="174"/>
      <x:c r="K26" s="174"/>
      <x:c r="L26" s="174"/>
      <x:c r="M26" s="174"/>
      <x:c r="N26" s="174"/>
      <x:c r="O26" s="174"/>
      <x:c r="P26" s="174"/>
      <x:c r="Q26" s="164"/>
      <x:c r="R26" s="188" t="str">
        <x:v>01 Background Table 1.</x:v>
      </x:c>
    </x:row>
    <x:row r="27" ht="22" customHeight="1">
      <x:c r="B27" s="164" t="str">
        <x:v>Participants per delivery person</x:v>
      </x:c>
      <x:c r="C27" s="164"/>
      <x:c r="D27" s="176" t="n">
        <x:v>30</x:v>
      </x:c>
      <x:c r="E27" s="174"/>
      <x:c r="F27" s="174"/>
      <x:c r="G27" s="174"/>
      <x:c r="H27" s="174"/>
      <x:c r="I27" s="174"/>
      <x:c r="J27" s="174"/>
      <x:c r="K27" s="174"/>
      <x:c r="L27" s="174"/>
      <x:c r="M27" s="174"/>
      <x:c r="N27" s="174"/>
      <x:c r="O27" s="174"/>
      <x:c r="P27" s="174"/>
      <x:c r="Q27" s="164"/>
      <x:c r="R27" s="188" t="str">
        <x:v>01 Background Table 1; 05 Operations Table 1.</x:v>
      </x:c>
    </x:row>
    <x:row r="28" ht="22" customHeight="1">
      <x:c r="B28" s="164" t="str">
        <x:v>External instructor base daily fee</x:v>
      </x:c>
      <x:c r="C28" s="164"/>
      <x:c r="D28" s="176" t="n">
        <x:v>700</x:v>
      </x:c>
      <x:c r="E28" s="174"/>
      <x:c r="F28" s="174"/>
      <x:c r="G28" s="174"/>
      <x:c r="H28" s="174"/>
      <x:c r="I28" s="174"/>
      <x:c r="J28" s="174"/>
      <x:c r="K28" s="174"/>
      <x:c r="L28" s="174"/>
      <x:c r="M28" s="174"/>
      <x:c r="N28" s="174"/>
      <x:c r="O28" s="174"/>
      <x:c r="P28" s="174"/>
      <x:c r="Q28" s="164"/>
      <x:c r="R28" s="188" t="str">
        <x:v>07 Finance P5.</x:v>
      </x:c>
    </x:row>
    <x:row r="29" ht="22" customHeight="1">
      <x:c r="B29" s="164" t="str">
        <x:v>External fee increase from July</x:v>
      </x:c>
      <x:c r="C29" s="164"/>
      <x:c r="D29" s="177" t="n">
        <x:v>0.1</x:v>
      </x:c>
      <x:c r="E29" s="174"/>
      <x:c r="F29" s="174"/>
      <x:c r="G29" s="174"/>
      <x:c r="H29" s="174"/>
      <x:c r="I29" s="174"/>
      <x:c r="J29" s="174"/>
      <x:c r="K29" s="174"/>
      <x:c r="L29" s="174"/>
      <x:c r="M29" s="174"/>
      <x:c r="N29" s="174"/>
      <x:c r="O29" s="174"/>
      <x:c r="P29" s="174"/>
      <x:c r="Q29" s="164"/>
      <x:c r="R29" s="188" t="str">
        <x:v>07 Finance P5.</x:v>
      </x:c>
    </x:row>
    <x:row r="30" ht="22" customHeight="1">
      <x:c r="B30" s="164" t="str">
        <x:v>Assistant fraction of instructor fee</x:v>
      </x:c>
      <x:c r="C30" s="164"/>
      <x:c r="D30" s="177" t="n">
        <x:v>0.25</x:v>
      </x:c>
      <x:c r="E30" s="174"/>
      <x:c r="F30" s="174"/>
      <x:c r="G30" s="174"/>
      <x:c r="H30" s="174"/>
      <x:c r="I30" s="174"/>
      <x:c r="J30" s="174"/>
      <x:c r="K30" s="174"/>
      <x:c r="L30" s="174"/>
      <x:c r="M30" s="174"/>
      <x:c r="N30" s="174"/>
      <x:c r="O30" s="174"/>
      <x:c r="P30" s="174"/>
      <x:c r="Q30" s="164"/>
      <x:c r="R30" s="188" t="str">
        <x:v>01 Background Table 1; 07 Finance P5.</x:v>
      </x:c>
    </x:row>
    <x:row r="31" ht="22" customHeight="1">
      <x:c r="B31" s="164" t="str">
        <x:v>Materials per participant per day</x:v>
      </x:c>
      <x:c r="C31" s="164"/>
      <x:c r="D31" s="176" t="n">
        <x:v>15</x:v>
      </x:c>
      <x:c r="E31" s="174"/>
      <x:c r="F31" s="174"/>
      <x:c r="G31" s="174"/>
      <x:c r="H31" s="174"/>
      <x:c r="I31" s="174"/>
      <x:c r="J31" s="174"/>
      <x:c r="K31" s="174"/>
      <x:c r="L31" s="174"/>
      <x:c r="M31" s="174"/>
      <x:c r="N31" s="174"/>
      <x:c r="O31" s="174"/>
      <x:c r="P31" s="174"/>
      <x:c r="Q31" s="164"/>
      <x:c r="R31" s="188" t="str">
        <x:v>06 Draft Program Plan P7:P32 formulas.</x:v>
      </x:c>
    </x:row>
    <x:row r="32" ht="22" customHeight="1">
      <x:c r="B32" s="164" t="str">
        <x:v>Venue per open-program day</x:v>
      </x:c>
      <x:c r="C32" s="164"/>
      <x:c r="D32" s="176" t="n">
        <x:v>600</x:v>
      </x:c>
      <x:c r="E32" s="174"/>
      <x:c r="F32" s="174"/>
      <x:c r="G32" s="174"/>
      <x:c r="H32" s="174"/>
      <x:c r="I32" s="174"/>
      <x:c r="J32" s="174"/>
      <x:c r="K32" s="174"/>
      <x:c r="L32" s="174"/>
      <x:c r="M32" s="174"/>
      <x:c r="N32" s="174"/>
      <x:c r="O32" s="174"/>
      <x:c r="P32" s="174"/>
      <x:c r="Q32" s="164"/>
      <x:c r="R32" s="188" t="str">
        <x:v>06 Draft Program Plan N7:N32 formulas.</x:v>
      </x:c>
    </x:row>
    <x:row r="33" ht="22" customHeight="1">
      <x:c r="B33" s="164" t="str">
        <x:v>Ordinary sales commission</x:v>
      </x:c>
      <x:c r="C33" s="164"/>
      <x:c r="D33" s="177" t="n">
        <x:v>0.05</x:v>
      </x:c>
      <x:c r="E33" s="174"/>
      <x:c r="F33" s="174"/>
      <x:c r="G33" s="174"/>
      <x:c r="H33" s="174"/>
      <x:c r="I33" s="174"/>
      <x:c r="J33" s="174"/>
      <x:c r="K33" s="174"/>
      <x:c r="L33" s="174"/>
      <x:c r="M33" s="174"/>
      <x:c r="N33" s="174"/>
      <x:c r="O33" s="174"/>
      <x:c r="P33" s="174"/>
      <x:c r="Q33" s="164"/>
      <x:c r="R33" s="188" t="str">
        <x:v>06 Draft Program Plan Q7:Q32 formulas.</x:v>
      </x:c>
    </x:row>
    <x:row r="34" ht="22" customHeight="1">
      <x:c r="B34" s="164" t="str">
        <x:v>Typical standard engagement days</x:v>
      </x:c>
      <x:c r="C34" s="164"/>
      <x:c r="D34" s="193" t="n">
        <x:v>1.5</x:v>
      </x:c>
      <x:c r="E34" s="174"/>
      <x:c r="F34" s="174"/>
      <x:c r="G34" s="174"/>
      <x:c r="H34" s="174"/>
      <x:c r="I34" s="174"/>
      <x:c r="J34" s="174"/>
      <x:c r="K34" s="174"/>
      <x:c r="L34" s="174"/>
      <x:c r="M34" s="174"/>
      <x:c r="N34" s="174"/>
      <x:c r="O34" s="174"/>
      <x:c r="P34" s="174"/>
      <x:c r="Q34" s="164"/>
      <x:c r="R34" s="188" t="str">
        <x:v>01 Background Table 1. Expected portfolio volumes can be fractional.</x:v>
      </x:c>
    </x:row>
    <x:row r="35" ht="22" customHeight="1">
      <x:c r="B35" s="164" t="str">
        <x:v>Employer burden on fixed salaries</x:v>
      </x:c>
      <x:c r="C35" s="164"/>
      <x:c r="D35" s="177" t="n">
        <x:v>0.25</x:v>
      </x:c>
      <x:c r="E35" s="174"/>
      <x:c r="F35" s="174"/>
      <x:c r="G35" s="174"/>
      <x:c r="H35" s="174"/>
      <x:c r="I35" s="174"/>
      <x:c r="J35" s="174"/>
      <x:c r="K35" s="174"/>
      <x:c r="L35" s="174"/>
      <x:c r="M35" s="174"/>
      <x:c r="N35" s="174"/>
      <x:c r="O35" s="174"/>
      <x:c r="P35" s="174"/>
      <x:c r="Q35" s="164"/>
      <x:c r="R35" s="188" t="str">
        <x:v>06 HR P6. Case assumption, not statutory tax guidance.</x:v>
      </x:c>
    </x:row>
    <x:row r="36" ht="22" customHeight="1">
      <x:c r="B36" s="164" t="str">
        <x:v>Fixed monthly salary per salesperson</x:v>
      </x:c>
      <x:c r="C36" s="164"/>
      <x:c r="D36" s="176" t="n">
        <x:v>1800</x:v>
      </x:c>
      <x:c r="E36" s="174"/>
      <x:c r="F36" s="174"/>
      <x:c r="G36" s="174"/>
      <x:c r="H36" s="174"/>
      <x:c r="I36" s="174"/>
      <x:c r="J36" s="174"/>
      <x:c r="K36" s="174"/>
      <x:c r="L36" s="174"/>
      <x:c r="M36" s="174"/>
      <x:c r="N36" s="174"/>
      <x:c r="O36" s="174"/>
      <x:c r="P36" s="174"/>
      <x:c r="Q36" s="164"/>
      <x:c r="R36" s="188" t="str">
        <x:v>06 HR P6. Ella replaces Anna at the same salary.</x:v>
      </x:c>
    </x:row>
    <x:row r="37" ht="22" customHeight="1">
      <x:c r="B37" s="164" t="str">
        <x:v>Studio fit-out capital cost</x:v>
      </x:c>
      <x:c r="C37" s="164"/>
      <x:c r="D37" s="176" t="n">
        <x:v>25000</x:v>
      </x:c>
      <x:c r="E37" s="174"/>
      <x:c r="F37" s="174"/>
      <x:c r="G37" s="174"/>
      <x:c r="H37" s="174"/>
      <x:c r="I37" s="174"/>
      <x:c r="J37" s="174"/>
      <x:c r="K37" s="174"/>
      <x:c r="L37" s="174"/>
      <x:c r="M37" s="174"/>
      <x:c r="N37" s="174"/>
      <x:c r="O37" s="174"/>
      <x:c r="P37" s="174"/>
      <x:c r="Q37" s="164"/>
      <x:c r="R37" s="188" t="str">
        <x:v>07 Finance P6. Capital expenditure is excluded from P&amp;L.</x:v>
      </x:c>
    </x:row>
    <x:row r="38" ht="22" customHeight="1">
      <x:c r="B38" s="164" t="str">
        <x:v>Studio useful life in months</x:v>
      </x:c>
      <x:c r="C38" s="164"/>
      <x:c r="D38" s="176" t="n">
        <x:v>60</x:v>
      </x:c>
      <x:c r="E38" s="174"/>
      <x:c r="F38" s="174"/>
      <x:c r="G38" s="174"/>
      <x:c r="H38" s="174"/>
      <x:c r="I38" s="174"/>
      <x:c r="J38" s="174"/>
      <x:c r="K38" s="174"/>
      <x:c r="L38" s="174"/>
      <x:c r="M38" s="174"/>
      <x:c r="N38" s="174"/>
      <x:c r="O38" s="174"/>
      <x:c r="P38" s="174"/>
      <x:c r="Q38" s="164"/>
      <x:c r="R38" s="188" t="str">
        <x:v>07 Finance P6: 5 years, straight-line, nil residual.</x:v>
      </x:c>
    </x:row>
    <x:row r="39" ht="22" customHeight="1">
      <x:c r="B39" s="164" t="str">
        <x:v>Studio in-service month number</x:v>
      </x:c>
      <x:c r="C39" s="164"/>
      <x:c r="D39" s="176" t="n">
        <x:v>5</x:v>
      </x:c>
      <x:c r="E39" s="174"/>
      <x:c r="F39" s="174"/>
      <x:c r="G39" s="174"/>
      <x:c r="H39" s="174"/>
      <x:c r="I39" s="174"/>
      <x:c r="J39" s="174"/>
      <x:c r="K39" s="174"/>
      <x:c r="L39" s="174"/>
      <x:c r="M39" s="174"/>
      <x:c r="N39" s="174"/>
      <x:c r="O39" s="174"/>
      <x:c r="P39" s="174"/>
      <x:c r="Q39" s="164"/>
      <x:c r="R39" s="188" t="str">
        <x:v>07 Finance P6: 1 May 2026.</x:v>
      </x:c>
    </x:row>
    <x:row r="40" ht="22" customHeight="1">
      <x:c r="B40" s="164" t="str">
        <x:v>Annual insurance</x:v>
      </x:c>
      <x:c r="C40" s="164"/>
      <x:c r="D40" s="176" t="n">
        <x:v>1800</x:v>
      </x:c>
      <x:c r="E40" s="174"/>
      <x:c r="F40" s="174"/>
      <x:c r="G40" s="174"/>
      <x:c r="H40" s="174"/>
      <x:c r="I40" s="174"/>
      <x:c r="J40" s="174"/>
      <x:c r="K40" s="174"/>
      <x:c r="L40" s="174"/>
      <x:c r="M40" s="174"/>
      <x:c r="N40" s="174"/>
      <x:c r="O40" s="174"/>
      <x:c r="P40" s="174"/>
      <x:c r="Q40" s="164"/>
      <x:c r="R40" s="188" t="str">
        <x:v>07 Finance P7. Assumption: accrues evenly Jan–Dec, regardless of April payment.</x:v>
      </x:c>
    </x:row>
    <x:row r="41" ht="22" customHeight="1">
      <x:c r="B41" s="164" t="str">
        <x:v>Anna recovery of unbudgeted book</x:v>
      </x:c>
      <x:c r="C41" s="164"/>
      <x:c r="D41" s="177" t="n">
        <x:v>0.4</x:v>
      </x:c>
      <x:c r="E41" s="174"/>
      <x:c r="F41" s="174"/>
      <x:c r="G41" s="174"/>
      <x:c r="H41" s="174"/>
      <x:c r="I41" s="174"/>
      <x:c r="J41" s="174"/>
      <x:c r="K41" s="174"/>
      <x:c r="L41" s="174"/>
      <x:c r="M41" s="174"/>
      <x:c r="N41" s="174"/>
      <x:c r="O41" s="174"/>
      <x:c r="P41" s="174"/>
      <x:c r="Q41" s="164"/>
      <x:c r="R41" s="188" t="str">
        <x:v>Part 2 management assumption conditional on contractor agreement.</x:v>
      </x:c>
    </x:row>
    <x:row r="42" ht="22" customHeight="1">
      <x:c r="B42" s="164" t="str">
        <x:v>Anna contractor total commission</x:v>
      </x:c>
      <x:c r="C42" s="164"/>
      <x:c r="D42" s="177" t="n">
        <x:v>0.1</x:v>
      </x:c>
      <x:c r="E42" s="174"/>
      <x:c r="F42" s="174"/>
      <x:c r="G42" s="174"/>
      <x:c r="H42" s="174"/>
      <x:c r="I42" s="174"/>
      <x:c r="J42" s="174"/>
      <x:c r="K42" s="174"/>
      <x:c r="L42" s="174"/>
      <x:c r="M42" s="174"/>
      <x:c r="N42" s="174"/>
      <x:c r="O42" s="174"/>
      <x:c r="P42" s="174"/>
      <x:c r="Q42" s="164"/>
      <x:c r="R42" s="188" t="str">
        <x:v>Part 2 proposed terms. No current agreement: 06 HR P7.</x:v>
      </x:c>
    </x:row>
    <x:row r="43" ht="22" customHeight="1">
      <x:c r="B43" s="164" t="str">
        <x:v>Internal gross allowance per delivery day</x:v>
      </x:c>
      <x:c r="C43" s="164"/>
      <x:c r="D43" s="176" t="n">
        <x:v>150</x:v>
      </x:c>
      <x:c r="E43" s="174"/>
      <x:c r="F43" s="174"/>
      <x:c r="G43" s="174"/>
      <x:c r="H43" s="174"/>
      <x:c r="I43" s="174"/>
      <x:c r="J43" s="174"/>
      <x:c r="K43" s="174"/>
      <x:c r="L43" s="174"/>
      <x:c r="M43" s="174"/>
      <x:c r="N43" s="174"/>
      <x:c r="O43" s="174"/>
      <x:c r="P43" s="174"/>
      <x:c r="Q43" s="164"/>
      <x:c r="R43" s="188" t="str">
        <x:v>Part 2 management estimate, additional to existing departmental fixed salaries.</x:v>
      </x:c>
    </x:row>
    <x:row r="44" ht="22" customHeight="1">
      <x:c r="B44" s="164" t="str">
        <x:v>Internal delivery-day reserve</x:v>
      </x:c>
      <x:c r="C44" s="164"/>
      <x:c r="D44" s="176" t="n">
        <x:v>2</x:v>
      </x:c>
      <x:c r="E44" s="174"/>
      <x:c r="F44" s="174"/>
      <x:c r="G44" s="174"/>
      <x:c r="H44" s="174"/>
      <x:c r="I44" s="174"/>
      <x:c r="J44" s="174"/>
      <x:c r="K44" s="174"/>
      <x:c r="L44" s="174"/>
      <x:c r="M44" s="174"/>
      <x:c r="N44" s="174"/>
      <x:c r="O44" s="174"/>
      <x:c r="P44" s="174"/>
      <x:c r="Q44" s="164"/>
      <x:c r="R44" s="188" t="str">
        <x:v>Part 2 planning decision, deducted from source monthly available days.</x:v>
      </x:c>
    </x:row>
    <x:row r="45" ht="22" customHeight="1">
      <x:c r="B45" s="164" t="str">
        <x:v>Open-room paid participant limit</x:v>
      </x:c>
      <x:c r="C45" s="164"/>
      <x:c r="D45" s="176" t="n">
        <x:v>20</x:v>
      </x:c>
      <x:c r="E45" s="174"/>
      <x:c r="F45" s="174"/>
      <x:c r="G45" s="174"/>
      <x:c r="H45" s="174"/>
      <x:c r="I45" s="174"/>
      <x:c r="J45" s="174"/>
      <x:c r="K45" s="174"/>
      <x:c r="L45" s="174"/>
      <x:c r="M45" s="174"/>
      <x:c r="N45" s="174"/>
      <x:c r="O45" s="174"/>
      <x:c r="P45" s="174"/>
      <x:c r="Q45" s="164"/>
      <x:c r="R45" s="188" t="str">
        <x:v>05 Operations Table 1.</x:v>
      </x:c>
    </x:row>
    <x:row r="46" ht="22" customHeight="1">
      <x:c r="B46" s="164" t="str">
        <x:v>Historical pooled open conversion</x:v>
      </x:c>
      <x:c r="C46" s="164"/>
      <x:c r="D46" s="191" t="n">
        <x:f>'15 P1 Workings'!D11</x:f>
        <x:v>0.2423500611995104</x:v>
      </x:c>
      <x:c r="E46" s="174"/>
      <x:c r="F46" s="174"/>
      <x:c r="G46" s="174"/>
      <x:c r="H46" s="174"/>
      <x:c r="I46" s="174"/>
      <x:c r="J46" s="174"/>
      <x:c r="K46" s="174"/>
      <x:c r="L46" s="174"/>
      <x:c r="M46" s="174"/>
      <x:c r="N46" s="174"/>
      <x:c r="O46" s="174"/>
      <x:c r="P46" s="174"/>
      <x:c r="Q46" s="164"/>
      <x:c r="R46" s="188" t="str">
        <x:v>03 Prior Year Marketing P12/P11. Historical-only calibration in P1 workings D11.</x:v>
      </x:c>
    </x:row>
    <x:row r="47" ht="22" customHeight="1">
      <x:c r="B47" s="164" t="str">
        <x:v>Open conversion planning factor</x:v>
      </x:c>
      <x:c r="C47" s="164"/>
      <x:c r="D47" s="177" t="n">
        <x:v>1</x:v>
      </x:c>
      <x:c r="E47" s="174"/>
      <x:c r="F47" s="174"/>
      <x:c r="G47" s="174"/>
      <x:c r="H47" s="174"/>
      <x:c r="I47" s="174"/>
      <x:c r="J47" s="174"/>
      <x:c r="K47" s="174"/>
      <x:c r="L47" s="174"/>
      <x:c r="M47" s="174"/>
      <x:c r="N47" s="174"/>
      <x:c r="O47" s="174"/>
      <x:c r="P47" s="174"/>
      <x:c r="Q47" s="164"/>
      <x:c r="R47" s="188" t="str">
        <x:v>Part 1 assumes historical pooled conversion. Creative uplift is untested: 04 Marketing P7.</x:v>
      </x:c>
    </x:row>
    <x:row r="48" ht="22" customHeight="1">
      <x:c r="B48" s="164" t="str">
        <x:v>New premium open-event seat price</x:v>
      </x:c>
      <x:c r="C48" s="164"/>
      <x:c r="D48" s="176" t="n">
        <x:v>600</x:v>
      </x:c>
      <x:c r="E48" s="174"/>
      <x:c r="F48" s="174"/>
      <x:c r="G48" s="174"/>
      <x:c r="H48" s="174"/>
      <x:c r="I48" s="174"/>
      <x:c r="J48" s="174"/>
      <x:c r="K48" s="174"/>
      <x:c r="L48" s="174"/>
      <x:c r="M48" s="174"/>
      <x:c r="N48" s="174"/>
      <x:c r="O48" s="174"/>
      <x:c r="P48" s="174"/>
      <x:c r="Q48" s="164"/>
      <x:c r="R48" s="188" t="str">
        <x:v>01 Background Table 2: Executive Blame Delegation. Willingness to pay is untested.</x:v>
      </x:c>
    </x:row>
    <x:row r="49" ht="22" customHeight="1">
      <x:c r="B49" s="164" t="str">
        <x:v>New premium event duration in days</x:v>
      </x:c>
      <x:c r="C49" s="164"/>
      <x:c r="D49" s="176" t="n">
        <x:v>2</x:v>
      </x:c>
      <x:c r="E49" s="174"/>
      <x:c r="F49" s="174"/>
      <x:c r="G49" s="174"/>
      <x:c r="H49" s="174"/>
      <x:c r="I49" s="174"/>
      <x:c r="J49" s="174"/>
      <x:c r="K49" s="174"/>
      <x:c r="L49" s="174"/>
      <x:c r="M49" s="174"/>
      <x:c r="N49" s="174"/>
      <x:c r="O49" s="174"/>
      <x:c r="P49" s="174"/>
      <x:c r="Q49" s="164"/>
      <x:c r="R49" s="188" t="str">
        <x:v>01 Background Table 2.</x:v>
      </x:c>
    </x:row>
    <x:row r="50" ht="22" customHeight="1">
      <x:c r="B50" s="164" t="str">
        <x:v>Anna source-calendar company retention</x:v>
      </x:c>
      <x:c r="C50" s="164"/>
      <x:c r="D50" s="177" t="n">
        <x:v>1</x:v>
      </x:c>
      <x:c r="E50" s="174"/>
      <x:c r="F50" s="174"/>
      <x:c r="G50" s="174"/>
      <x:c r="H50" s="174"/>
      <x:c r="I50" s="174"/>
      <x:c r="J50" s="174"/>
      <x:c r="K50" s="174"/>
      <x:c r="L50" s="174"/>
      <x:c r="M50" s="174"/>
      <x:c r="N50" s="174"/>
      <x:c r="O50" s="174"/>
      <x:c r="P50" s="174"/>
      <x:c r="Q50" s="164"/>
      <x:c r="R50" s="188" t="str">
        <x:v>Part 1 expected retention assumption. Ordinary company handover, no Anna contract.</x:v>
      </x:c>
    </x:row>
    <x:row r="51" ht="22" customHeight="1">
      <x:c r="B51" s="164" t="str">
        <x:v>Travel proxy per residual corporate day</x:v>
      </x:c>
      <x:c r="C51" s="164"/>
      <x:c r="D51" s="175" t="n">
        <x:f>'15 P1 Workings'!D12</x:f>
        <x:v>232.8125</x:v>
      </x:c>
      <x:c r="E51" s="174"/>
      <x:c r="F51" s="174"/>
      <x:c r="G51" s="174"/>
      <x:c r="H51" s="174"/>
      <x:c r="I51" s="174"/>
      <x:c r="J51" s="174"/>
      <x:c r="K51" s="174"/>
      <x:c r="L51" s="174"/>
      <x:c r="M51" s="174"/>
      <x:c r="N51" s="174"/>
      <x:c r="O51" s="174"/>
      <x:c r="P51" s="174"/>
      <x:c r="Q51" s="164"/>
      <x:c r="R51" s="188" t="str">
        <x:v>Current register, not historical travel: 06 O7:O32 / corporate G7:G32. P1 workings D12.</x:v>
      </x:c>
    </x:row>
    <x:row r="52" ht="22" customHeight="1">
      <x:c r="B52" s="164" t="str">
        <x:v>Regular assistant monthly day limit</x:v>
      </x:c>
      <x:c r="C52" s="164"/>
      <x:c r="D52" s="176" t="n">
        <x:v>4</x:v>
      </x:c>
      <x:c r="E52" s="174"/>
      <x:c r="F52" s="174"/>
      <x:c r="G52" s="174"/>
      <x:c r="H52" s="174"/>
      <x:c r="I52" s="174"/>
      <x:c r="J52" s="174"/>
      <x:c r="K52" s="174"/>
      <x:c r="L52" s="174"/>
      <x:c r="M52" s="174"/>
      <x:c r="N52" s="174"/>
      <x:c r="O52" s="174"/>
      <x:c r="P52" s="174"/>
      <x:c r="Q52" s="164"/>
      <x:c r="R52" s="188" t="str">
        <x:v>05 Operations Table 1. One person cannot cover simultaneous assistants.</x:v>
      </x:c>
    </x:row>
    <x:row r="53" ht="22" customHeight="1">
      <x:c r="B53" s="164" t="str">
        <x:v>Internal allowance employer burden</x:v>
      </x:c>
      <x:c r="C53" s="164"/>
      <x:c r="D53" s="192" t="n">
        <x:f>$D$35</x:f>
        <x:v>0.25</x:v>
      </x:c>
      <x:c r="E53" s="174"/>
      <x:c r="F53" s="174"/>
      <x:c r="G53" s="174"/>
      <x:c r="H53" s="174"/>
      <x:c r="I53" s="174"/>
      <x:c r="J53" s="174"/>
      <x:c r="K53" s="174"/>
      <x:c r="L53" s="174"/>
      <x:c r="M53" s="174"/>
      <x:c r="N53" s="174"/>
      <x:c r="O53" s="174"/>
      <x:c r="P53" s="174"/>
      <x:c r="Q53" s="164"/>
      <x:c r="R53" s="188" t="str">
        <x:v>Management assumption: apply the case fixed-salary burden to additional allowance.</x:v>
      </x:c>
    </x:row>
    <x:row r="54" ht="22" customHeight="1">
      <x:c r="B54" s="164"/>
      <x:c r="C54" s="164"/>
      <x:c r="D54" s="174"/>
      <x:c r="E54" s="174"/>
      <x:c r="F54" s="174"/>
      <x:c r="G54" s="174"/>
      <x:c r="H54" s="174"/>
      <x:c r="I54" s="174"/>
      <x:c r="J54" s="174"/>
      <x:c r="K54" s="174"/>
      <x:c r="L54" s="174"/>
      <x:c r="M54" s="174"/>
      <x:c r="N54" s="174"/>
      <x:c r="O54" s="174"/>
      <x:c r="P54" s="174"/>
      <x:c r="Q54" s="164"/>
      <x:c r="R54" s="164"/>
    </x:row>
    <x:row r="55" ht="22" customHeight="1">
      <x:c r="B55" s="164"/>
      <x:c r="C55" s="164"/>
      <x:c r="D55" s="174"/>
      <x:c r="E55" s="174"/>
      <x:c r="F55" s="174"/>
      <x:c r="G55" s="174"/>
      <x:c r="H55" s="174"/>
      <x:c r="I55" s="174"/>
      <x:c r="J55" s="174"/>
      <x:c r="K55" s="174"/>
      <x:c r="L55" s="174"/>
      <x:c r="M55" s="174"/>
      <x:c r="N55" s="174"/>
      <x:c r="O55" s="174"/>
      <x:c r="P55" s="174"/>
      <x:c r="Q55" s="164"/>
      <x:c r="R55" s="164"/>
    </x:row>
    <x:row r="56" ht="22" customHeight="1">
      <x:c r="B56" s="164"/>
      <x:c r="C56" s="164"/>
      <x:c r="D56" s="174"/>
      <x:c r="E56" s="174"/>
      <x:c r="F56" s="174"/>
      <x:c r="G56" s="174"/>
      <x:c r="H56" s="174"/>
      <x:c r="I56" s="174"/>
      <x:c r="J56" s="174"/>
      <x:c r="K56" s="174"/>
      <x:c r="L56" s="174"/>
      <x:c r="M56" s="174"/>
      <x:c r="N56" s="174"/>
      <x:c r="O56" s="174"/>
      <x:c r="P56" s="174"/>
      <x:c r="Q56" s="164"/>
      <x:c r="R56" s="164"/>
    </x:row>
    <x:row r="57" ht="22" customHeight="1">
      <x:c r="B57" s="164"/>
      <x:c r="C57" s="164"/>
      <x:c r="D57" s="174"/>
      <x:c r="E57" s="174"/>
      <x:c r="F57" s="174"/>
      <x:c r="G57" s="174"/>
      <x:c r="H57" s="174"/>
      <x:c r="I57" s="174"/>
      <x:c r="J57" s="174"/>
      <x:c r="K57" s="174"/>
      <x:c r="L57" s="174"/>
      <x:c r="M57" s="174"/>
      <x:c r="N57" s="174"/>
      <x:c r="O57" s="174"/>
      <x:c r="P57" s="174"/>
      <x:c r="Q57" s="164"/>
      <x:c r="R57" s="164"/>
    </x:row>
    <x:row r="58" ht="22" customHeight="1">
      <x:c r="B58" s="164"/>
      <x:c r="C58" s="164"/>
      <x:c r="D58" s="174"/>
      <x:c r="E58" s="174"/>
      <x:c r="F58" s="174"/>
      <x:c r="G58" s="174"/>
      <x:c r="H58" s="174"/>
      <x:c r="I58" s="174"/>
      <x:c r="J58" s="174"/>
      <x:c r="K58" s="174"/>
      <x:c r="L58" s="174"/>
      <x:c r="M58" s="174"/>
      <x:c r="N58" s="174"/>
      <x:c r="O58" s="174"/>
      <x:c r="P58" s="174"/>
      <x:c r="Q58" s="164"/>
      <x:c r="R58" s="164"/>
    </x:row>
    <x:row r="59" ht="22" customHeight="1">
      <x:c r="B59" s="164"/>
      <x:c r="C59" s="164"/>
      <x:c r="D59" s="174"/>
      <x:c r="E59" s="174"/>
      <x:c r="F59" s="174"/>
      <x:c r="G59" s="174"/>
      <x:c r="H59" s="174"/>
      <x:c r="I59" s="174"/>
      <x:c r="J59" s="174"/>
      <x:c r="K59" s="174"/>
      <x:c r="L59" s="174"/>
      <x:c r="M59" s="174"/>
      <x:c r="N59" s="174"/>
      <x:c r="O59" s="174"/>
      <x:c r="P59" s="174"/>
      <x:c r="Q59" s="164"/>
      <x:c r="R59" s="164"/>
    </x:row>
  </x:sheetData>
  <x:mergeCells>
    <x:mergeCell ref="B4:P4"/>
  </x:mergeCells>
  <x:dataValidations count="3">
    <x:dataValidation type="whole" operator="between" sqref="D7:O7">
      <x:formula1>0</x:formula1>
      <x:formula2>10</x:formula2>
    </x:dataValidation>
    <x:dataValidation type="decimal" operator="between" sqref="D8:O8">
      <x:formula1>0</x:formula1>
      <x:formula2>1</x:formula2>
    </x:dataValidation>
    <x:dataValidation type="decimal" operator="between" sqref="D41">
      <x:formula1>0</x:formula1>
      <x:formula2>1</x:formula2>
    </x:dataValidation>
  </x:dataValidations>
  <x:pageMargins left="0.7" right="0.7" top="0.75" bottom="0.75" header="0.3" footer="0.3"/>
</x:worksheet>
</file>

<file path=xl/worksheets/sheet16.xml><?xml version="1.0" encoding="utf-8"?>
<x:worksheet xmlns:x="http://schemas.openxmlformats.org/spreadsheetml/2006/main">
  <x:sheetPr>
    <x:tabColor rgb="FF183E4C"/>
  </x:sheetPr>
  <x:sheetViews>
    <x:sheetView showGridLines="0" workbookViewId="0">
      <x:pane xSplit="3" ySplit="6" topLeftCell="D7" activePane="bottomRight" state="frozen"/>
    </x:sheetView>
  </x:sheetViews>
  <x:sheetFormatPr defaultRowHeight="15"/>
  <x:cols>
    <x:col min="2" max="2" width="38" hidden="0" customWidth="1"/>
    <x:col min="3" max="3" width="5"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5" hidden="0" customWidth="1"/>
    <x:col min="17" max="17" width="3" hidden="0" customWidth="1"/>
    <x:col min="18" max="18" width="74" hidden="0" customWidth="1"/>
  </x:cols>
  <x:sheetData>
    <x:row r="2">
      <x:c r="B2" s="166" t="str">
        <x:v>Part 1 sales, delivery costs and payroll</x:v>
      </x:c>
      <x:c r="C2" s="167"/>
      <x:c r="D2" s="167"/>
      <x:c r="E2" s="167"/>
      <x:c r="F2" s="167"/>
      <x:c r="G2" s="167"/>
      <x:c r="H2" s="167"/>
      <x:c r="I2" s="167"/>
      <x:c r="J2" s="167"/>
      <x:c r="K2" s="167"/>
      <x:c r="L2" s="167"/>
      <x:c r="M2" s="167"/>
      <x:c r="N2" s="167"/>
      <x:c r="O2" s="167"/>
      <x:c r="P2" s="167"/>
      <x:c r="Q2" s="164"/>
      <x:c r="R2" s="164"/>
    </x:row>
    <x:row r="3">
      <x:c r="B3" s="168" t="str">
        <x:v>2026 monthly budget. EUR excluding VAT. Costs are negative.</x:v>
      </x:c>
      <x:c r="C3" s="164"/>
      <x:c r="D3" s="164"/>
      <x:c r="E3" s="164"/>
      <x:c r="F3" s="164"/>
      <x:c r="G3" s="164"/>
      <x:c r="H3" s="164"/>
      <x:c r="I3" s="164"/>
      <x:c r="J3" s="164"/>
      <x:c r="K3" s="164"/>
      <x:c r="L3" s="164"/>
      <x:c r="M3" s="164"/>
      <x:c r="N3" s="164"/>
      <x:c r="O3" s="164"/>
      <x:c r="P3" s="164"/>
      <x:c r="Q3" s="164"/>
      <x:c r="R3" s="164"/>
    </x:row>
    <x:row r="4">
      <x:c r="B4" s="164"/>
      <x:c r="C4" s="164"/>
      <x:c r="D4" s="164"/>
      <x:c r="E4" s="164"/>
      <x:c r="F4" s="164"/>
      <x:c r="G4" s="164"/>
      <x:c r="H4" s="164"/>
      <x:c r="I4" s="164"/>
      <x:c r="J4" s="164"/>
      <x:c r="K4" s="164"/>
      <x:c r="L4" s="164"/>
      <x:c r="M4" s="164"/>
      <x:c r="N4" s="164"/>
      <x:c r="O4" s="164"/>
      <x:c r="P4" s="164"/>
      <x:c r="Q4" s="164"/>
      <x:c r="R4" s="164"/>
    </x:row>
    <x:row r="5">
      <x:c r="B5" s="164"/>
      <x:c r="C5" s="164"/>
      <x:c r="D5" s="173" t="d">
        <x:v>2026-01-01T00:00:00.000Z</x:v>
      </x:c>
      <x:c r="E5" s="173" t="d">
        <x:v>2026-02-01T00:00:00.000Z</x:v>
      </x:c>
      <x:c r="F5" s="173" t="d">
        <x:v>2026-03-01T00:00:00.000Z</x:v>
      </x:c>
      <x:c r="G5" s="173" t="d">
        <x:v>2026-04-01T00:00:00.000Z</x:v>
      </x:c>
      <x:c r="H5" s="173" t="d">
        <x:v>2026-05-01T00:00:00.000Z</x:v>
      </x:c>
      <x:c r="I5" s="173" t="d">
        <x:v>2026-06-01T00:00:00.000Z</x:v>
      </x:c>
      <x:c r="J5" s="173" t="d">
        <x:v>2026-07-01T00:00:00.000Z</x:v>
      </x:c>
      <x:c r="K5" s="173" t="d">
        <x:v>2026-08-01T00:00:00.000Z</x:v>
      </x:c>
      <x:c r="L5" s="173" t="d">
        <x:v>2026-09-01T00:00:00.000Z</x:v>
      </x:c>
      <x:c r="M5" s="173" t="d">
        <x:v>2026-10-01T00:00:00.000Z</x:v>
      </x:c>
      <x:c r="N5" s="173" t="d">
        <x:v>2026-11-01T00:00:00.000Z</x:v>
      </x:c>
      <x:c r="O5" s="173" t="d">
        <x:v>2026-12-01T00:00:00.000Z</x:v>
      </x:c>
      <x:c r="P5" s="164"/>
      <x:c r="Q5" s="164"/>
      <x:c r="R5" s="164"/>
    </x:row>
    <x:row r="6" ht="28" customHeight="1">
      <x:c r="B6" s="171"/>
      <x:c r="C6" s="171"/>
      <x:c r="D6" s="171" t="str">
        <x:v>Jan</x:v>
      </x:c>
      <x:c r="E6" s="171" t="str">
        <x:v>Feb</x:v>
      </x:c>
      <x:c r="F6" s="171" t="str">
        <x:v>Mar</x:v>
      </x:c>
      <x:c r="G6" s="171" t="str">
        <x:v>Apr</x:v>
      </x:c>
      <x:c r="H6" s="171" t="str">
        <x:v>May</x:v>
      </x:c>
      <x:c r="I6" s="171" t="str">
        <x:v>Jun</x:v>
      </x:c>
      <x:c r="J6" s="171" t="str">
        <x:v>Jul</x:v>
      </x:c>
      <x:c r="K6" s="171" t="str">
        <x:v>Aug</x:v>
      </x:c>
      <x:c r="L6" s="171" t="str">
        <x:v>Sep</x:v>
      </x:c>
      <x:c r="M6" s="171" t="str">
        <x:v>Oct</x:v>
      </x:c>
      <x:c r="N6" s="171" t="str">
        <x:v>Nov</x:v>
      </x:c>
      <x:c r="O6" s="171" t="str">
        <x:v>Dec</x:v>
      </x:c>
      <x:c r="P6" s="171" t="str">
        <x:v>FY Total</x:v>
      </x:c>
      <x:c r="Q6" s="164"/>
      <x:c r="R6" s="164"/>
    </x:row>
    <x:row r="7" ht="22" customHeight="1">
      <x:c r="B7" s="164" t="str">
        <x:v>Mark historical corporate revenue</x:v>
      </x:c>
      <x:c r="C7" s="164"/>
      <x:c r="D7" s="175" t="n">
        <x:f>SUM('02 Prior Year Sales'!D10,'02 Prior Year Sales'!D11)</x:f>
        <x:v>12500</x:v>
      </x:c>
      <x:c r="E7" s="175" t="n">
        <x:f>SUM('02 Prior Year Sales'!E10,'02 Prior Year Sales'!E11)</x:f>
        <x:v>15000</x:v>
      </x:c>
      <x:c r="F7" s="175" t="n">
        <x:f>SUM('02 Prior Year Sales'!F10,'02 Prior Year Sales'!F11)</x:f>
        <x:v>10000</x:v>
      </x:c>
      <x:c r="G7" s="175" t="n">
        <x:f>SUM('02 Prior Year Sales'!G10,'02 Prior Year Sales'!G11)</x:f>
        <x:v>17500</x:v>
      </x:c>
      <x:c r="H7" s="175" t="n">
        <x:f>SUM('02 Prior Year Sales'!H10,'02 Prior Year Sales'!H11)</x:f>
        <x:v>12500</x:v>
      </x:c>
      <x:c r="I7" s="175" t="n">
        <x:f>SUM('02 Prior Year Sales'!I10,'02 Prior Year Sales'!I11)</x:f>
        <x:v>10000</x:v>
      </x:c>
      <x:c r="J7" s="175" t="n">
        <x:f>SUM('02 Prior Year Sales'!J10,'02 Prior Year Sales'!J11)</x:f>
        <x:v>7500</x:v>
      </x:c>
      <x:c r="K7" s="175" t="n">
        <x:f>SUM('02 Prior Year Sales'!K10,'02 Prior Year Sales'!K11)</x:f>
        <x:v>10000</x:v>
      </x:c>
      <x:c r="L7" s="175" t="n">
        <x:f>SUM('02 Prior Year Sales'!L10,'02 Prior Year Sales'!L11)</x:f>
        <x:v>17500</x:v>
      </x:c>
      <x:c r="M7" s="175" t="n">
        <x:f>SUM('02 Prior Year Sales'!M10,'02 Prior Year Sales'!M11)</x:f>
        <x:v>15000</x:v>
      </x:c>
      <x:c r="N7" s="175" t="n">
        <x:f>SUM('02 Prior Year Sales'!N10,'02 Prior Year Sales'!N11)</x:f>
        <x:v>12500</x:v>
      </x:c>
      <x:c r="O7" s="175" t="n">
        <x:f>SUM('02 Prior Year Sales'!O10,'02 Prior Year Sales'!O11)</x:f>
        <x:v>10000</x:v>
      </x:c>
      <x:c r="P7" s="174" t="n">
        <x:f>SUM(D7:O7)</x:f>
        <x:v>150000</x:v>
      </x:c>
      <x:c r="Q7" s="164"/>
      <x:c r="R7" s="164"/>
    </x:row>
    <x:row r="8" ht="22" customHeight="1">
      <x:c r="B8" s="164" t="str">
        <x:v>Linda historical corporate revenue</x:v>
      </x:c>
      <x:c r="C8" s="164"/>
      <x:c r="D8" s="175" t="n">
        <x:f>SUM('02 Prior Year Sales'!D13,'02 Prior Year Sales'!D14)</x:f>
        <x:v>5000</x:v>
      </x:c>
      <x:c r="E8" s="175" t="n">
        <x:f>SUM('02 Prior Year Sales'!E13,'02 Prior Year Sales'!E14)</x:f>
        <x:v>7500</x:v>
      </x:c>
      <x:c r="F8" s="175" t="n">
        <x:f>SUM('02 Prior Year Sales'!F13,'02 Prior Year Sales'!F14)</x:f>
        <x:v>7500</x:v>
      </x:c>
      <x:c r="G8" s="175" t="n">
        <x:f>SUM('02 Prior Year Sales'!G13,'02 Prior Year Sales'!G14)</x:f>
        <x:v>7500</x:v>
      </x:c>
      <x:c r="H8" s="175" t="n">
        <x:f>SUM('02 Prior Year Sales'!H13,'02 Prior Year Sales'!H14)</x:f>
        <x:v>5000</x:v>
      </x:c>
      <x:c r="I8" s="175" t="n">
        <x:f>SUM('02 Prior Year Sales'!I13,'02 Prior Year Sales'!I14)</x:f>
        <x:v>2500</x:v>
      </x:c>
      <x:c r="J8" s="175" t="n">
        <x:f>SUM('02 Prior Year Sales'!J13,'02 Prior Year Sales'!J14)</x:f>
        <x:v>2500</x:v>
      </x:c>
      <x:c r="K8" s="175" t="n">
        <x:f>SUM('02 Prior Year Sales'!K13,'02 Prior Year Sales'!K14)</x:f>
        <x:v>5000</x:v>
      </x:c>
      <x:c r="L8" s="175" t="n">
        <x:f>SUM('02 Prior Year Sales'!L13,'02 Prior Year Sales'!L14)</x:f>
        <x:v>7500</x:v>
      </x:c>
      <x:c r="M8" s="175" t="n">
        <x:f>SUM('02 Prior Year Sales'!M13,'02 Prior Year Sales'!M14)</x:f>
        <x:v>10000</x:v>
      </x:c>
      <x:c r="N8" s="175" t="n">
        <x:f>SUM('02 Prior Year Sales'!N13,'02 Prior Year Sales'!N14)</x:f>
        <x:v>5000</x:v>
      </x:c>
      <x:c r="O8" s="175" t="n">
        <x:f>SUM('02 Prior Year Sales'!O13,'02 Prior Year Sales'!O14)</x:f>
        <x:v>5000</x:v>
      </x:c>
      <x:c r="P8" s="174" t="n">
        <x:f>SUM(D8:O8)</x:f>
        <x:v>70000</x:v>
      </x:c>
      <x:c r="Q8" s="164"/>
      <x:c r="R8" s="164"/>
    </x:row>
    <x:row r="9" ht="22" customHeight="1">
      <x:c r="B9" s="164" t="str">
        <x:v>Peter historical corporate revenue</x:v>
      </x:c>
      <x:c r="C9" s="164"/>
      <x:c r="D9" s="175" t="n">
        <x:f>SUM('02 Prior Year Sales'!D16,'02 Prior Year Sales'!D17)</x:f>
        <x:v>5000</x:v>
      </x:c>
      <x:c r="E9" s="175" t="n">
        <x:f>SUM('02 Prior Year Sales'!E16,'02 Prior Year Sales'!E17)</x:f>
        <x:v>7500</x:v>
      </x:c>
      <x:c r="F9" s="175" t="n">
        <x:f>SUM('02 Prior Year Sales'!F16,'02 Prior Year Sales'!F17)</x:f>
        <x:v>5000</x:v>
      </x:c>
      <x:c r="G9" s="175" t="n">
        <x:f>SUM('02 Prior Year Sales'!G16,'02 Prior Year Sales'!G17)</x:f>
        <x:v>7500</x:v>
      </x:c>
      <x:c r="H9" s="175" t="n">
        <x:f>SUM('02 Prior Year Sales'!H16,'02 Prior Year Sales'!H17)</x:f>
        <x:v>5000</x:v>
      </x:c>
      <x:c r="I9" s="175" t="n">
        <x:f>SUM('02 Prior Year Sales'!I16,'02 Prior Year Sales'!I17)</x:f>
        <x:v>2500</x:v>
      </x:c>
      <x:c r="J9" s="175" t="n">
        <x:f>SUM('02 Prior Year Sales'!J16,'02 Prior Year Sales'!J17)</x:f>
        <x:v>0</x:v>
      </x:c>
      <x:c r="K9" s="175" t="n">
        <x:f>SUM('02 Prior Year Sales'!K16,'02 Prior Year Sales'!K17)</x:f>
        <x:v>5000</x:v>
      </x:c>
      <x:c r="L9" s="175" t="n">
        <x:f>SUM('02 Prior Year Sales'!L16,'02 Prior Year Sales'!L17)</x:f>
        <x:v>7500</x:v>
      </x:c>
      <x:c r="M9" s="175" t="n">
        <x:f>SUM('02 Prior Year Sales'!M16,'02 Prior Year Sales'!M17)</x:f>
        <x:v>5000</x:v>
      </x:c>
      <x:c r="N9" s="175" t="n">
        <x:f>SUM('02 Prior Year Sales'!N16,'02 Prior Year Sales'!N17)</x:f>
        <x:v>5000</x:v>
      </x:c>
      <x:c r="O9" s="175" t="n">
        <x:f>SUM('02 Prior Year Sales'!O16,'02 Prior Year Sales'!O17)</x:f>
        <x:v>5000</x:v>
      </x:c>
      <x:c r="P9" s="174" t="n">
        <x:f>SUM(D9:O9)</x:f>
        <x:v>60000</x:v>
      </x:c>
      <x:c r="Q9" s="164"/>
      <x:c r="R9" s="164"/>
    </x:row>
    <x:row r="10" ht="22" customHeight="1">
      <x:c r="B10" s="183" t="str">
        <x:v>Continuing employee corporate baseline</x:v>
      </x:c>
      <x:c r="C10" s="183"/>
      <x:c r="D10" s="185" t="n">
        <x:f>SUM(D7:D9)</x:f>
        <x:v>22500</x:v>
      </x:c>
      <x:c r="E10" s="185" t="n">
        <x:f>SUM(E7:E9)</x:f>
        <x:v>30000</x:v>
      </x:c>
      <x:c r="F10" s="185" t="n">
        <x:f>SUM(F7:F9)</x:f>
        <x:v>22500</x:v>
      </x:c>
      <x:c r="G10" s="185" t="n">
        <x:f>SUM(G7:G9)</x:f>
        <x:v>32500</x:v>
      </x:c>
      <x:c r="H10" s="185" t="n">
        <x:f>SUM(H7:H9)</x:f>
        <x:v>22500</x:v>
      </x:c>
      <x:c r="I10" s="185" t="n">
        <x:f>SUM(I7:I9)</x:f>
        <x:v>15000</x:v>
      </x:c>
      <x:c r="J10" s="185" t="n">
        <x:f>SUM(J7:J9)</x:f>
        <x:v>10000</x:v>
      </x:c>
      <x:c r="K10" s="185" t="n">
        <x:f>SUM(K7:K9)</x:f>
        <x:v>20000</x:v>
      </x:c>
      <x:c r="L10" s="185" t="n">
        <x:f>SUM(L7:L9)</x:f>
        <x:v>32500</x:v>
      </x:c>
      <x:c r="M10" s="185" t="n">
        <x:f>SUM(M7:M9)</x:f>
        <x:v>30000</x:v>
      </x:c>
      <x:c r="N10" s="185" t="n">
        <x:f>SUM(N7:N9)</x:f>
        <x:v>22500</x:v>
      </x:c>
      <x:c r="O10" s="185" t="n">
        <x:f>SUM(O7:O9)</x:f>
        <x:v>20000</x:v>
      </x:c>
      <x:c r="P10" s="185" t="n">
        <x:f>SUM(D10:O10)</x:f>
        <x:v>280000</x:v>
      </x:c>
      <x:c r="Q10" s="164"/>
      <x:c r="R10" s="188" t="str">
        <x:v>02 Prior Year Sales rows 10/11, 13/14 and 16/17. No untested uplift.</x:v>
      </x:c>
    </x:row>
    <x:row r="11" ht="22" customHeight="1">
      <x:c r="B11" s="164" t="str">
        <x:v>Historical pooled open conversion</x:v>
      </x:c>
      <x:c r="C11" s="164"/>
      <x:c r="D11" s="191" t="n">
        <x:f>'03 Prior Year Marketing'!P12/'03 Prior Year Marketing'!P11</x:f>
        <x:v>0.2423500611995104</x:v>
      </x:c>
      <x:c r="E11" s="192"/>
      <x:c r="F11" s="192"/>
      <x:c r="G11" s="192"/>
      <x:c r="H11" s="192"/>
      <x:c r="I11" s="192"/>
      <x:c r="J11" s="192"/>
      <x:c r="K11" s="192"/>
      <x:c r="L11" s="192"/>
      <x:c r="M11" s="192"/>
      <x:c r="N11" s="192"/>
      <x:c r="O11" s="192"/>
      <x:c r="P11" s="174"/>
      <x:c r="Q11" s="164"/>
      <x:c r="R11" s="164"/>
    </x:row>
    <x:row r="12" ht="22" customHeight="1">
      <x:c r="B12" s="164" t="str">
        <x:v>Current-register travel per corporate day</x:v>
      </x:c>
      <x:c r="C12" s="164"/>
      <x:c r="D12" s="175" t="n">
        <x:f>SUMIFS('06 Draft Program Plan'!O7:O32,'06 Draft Program Plan'!F7:F32,"&lt;&gt;Open")/SUMIFS('06 Draft Program Plan'!G7:G32,'06 Draft Program Plan'!F7:F32,"&lt;&gt;Open")</x:f>
        <x:v>232.8125</x:v>
      </x:c>
      <x:c r="E12" s="174"/>
      <x:c r="F12" s="174"/>
      <x:c r="G12" s="174"/>
      <x:c r="H12" s="174"/>
      <x:c r="I12" s="174"/>
      <x:c r="J12" s="174"/>
      <x:c r="K12" s="174"/>
      <x:c r="L12" s="174"/>
      <x:c r="M12" s="174"/>
      <x:c r="N12" s="174"/>
      <x:c r="O12" s="174"/>
      <x:c r="P12" s="174"/>
      <x:c r="Q12" s="164"/>
      <x:c r="R12" s="164"/>
    </x:row>
    <x:row r="13" ht="22" customHeight="1">
      <x:c r="B13" s="164" t="str">
        <x:v>Former Anna seasonal corporate baseline</x:v>
      </x:c>
      <x:c r="C13" s="164"/>
      <x:c r="D13" s="175" t="n">
        <x:f>SUM('02 Prior Year Sales'!D7,'02 Prior Year Sales'!D8)</x:f>
        <x:v>14500</x:v>
      </x:c>
      <x:c r="E13" s="175" t="n">
        <x:f>SUM('02 Prior Year Sales'!E7,'02 Prior Year Sales'!E8)</x:f>
        <x:v>10000</x:v>
      </x:c>
      <x:c r="F13" s="175" t="n">
        <x:f>SUM('02 Prior Year Sales'!F7,'02 Prior Year Sales'!F8)</x:f>
        <x:v>15000</x:v>
      </x:c>
      <x:c r="G13" s="175" t="n">
        <x:f>SUM('02 Prior Year Sales'!G7,'02 Prior Year Sales'!G8)</x:f>
        <x:v>17500</x:v>
      </x:c>
      <x:c r="H13" s="175" t="n">
        <x:f>SUM('02 Prior Year Sales'!H7,'02 Prior Year Sales'!H8)</x:f>
        <x:v>10000</x:v>
      </x:c>
      <x:c r="I13" s="175" t="n">
        <x:f>SUM('02 Prior Year Sales'!I7,'02 Prior Year Sales'!I8)</x:f>
        <x:v>7500</x:v>
      </x:c>
      <x:c r="J13" s="175" t="n">
        <x:f>SUM('02 Prior Year Sales'!J7,'02 Prior Year Sales'!J8)</x:f>
        <x:v>2500</x:v>
      </x:c>
      <x:c r="K13" s="175" t="n">
        <x:f>SUM('02 Prior Year Sales'!K7,'02 Prior Year Sales'!K8)</x:f>
        <x:v>7500</x:v>
      </x:c>
      <x:c r="L13" s="175" t="n">
        <x:f>SUM('02 Prior Year Sales'!L7,'02 Prior Year Sales'!L8)</x:f>
        <x:v>15000</x:v>
      </x:c>
      <x:c r="M13" s="175" t="n">
        <x:f>SUM('02 Prior Year Sales'!M7,'02 Prior Year Sales'!M8)</x:f>
        <x:v>20000</x:v>
      </x:c>
      <x:c r="N13" s="175" t="n">
        <x:f>SUM('02 Prior Year Sales'!N7,'02 Prior Year Sales'!N8)</x:f>
        <x:v>7500</x:v>
      </x:c>
      <x:c r="O13" s="175" t="n">
        <x:f>SUM('02 Prior Year Sales'!O7,'02 Prior Year Sales'!O8)</x:f>
        <x:v>10000</x:v>
      </x:c>
      <x:c r="P13" s="174" t="n">
        <x:f>SUM(D13:O13)</x:f>
        <x:v>137000</x:v>
      </x:c>
      <x:c r="Q13" s="164"/>
      <x:c r="R13" s="164"/>
    </x:row>
    <x:row r="14" ht="22" customHeight="1">
      <x:c r="B14" s="164" t="str">
        <x:v>Anna source-calendar company revenue</x:v>
      </x:c>
      <x:c r="C14" s="164"/>
      <x:c r="D14" s="175" t="n">
        <x:f>SUMIFS('17 Program Economics'!$J$7:$J$32,'17 Program Economics'!$C$7:$C$32,D$6,'17 Program Economics'!$D$7:$D$32,"Anna Power",'17 Program Economics'!$F$7:$F$32,"&lt;&gt;Open")*IF(MONTH(D$5)&gt;2,'14 Drivers'!$D$50,1)</x:f>
        <x:v>0</x:v>
      </x:c>
      <x:c r="E14" s="175" t="n">
        <x:f>SUMIFS('17 Program Economics'!$J$7:$J$32,'17 Program Economics'!$C$7:$C$32,E$6,'17 Program Economics'!$D$7:$D$32,"Anna Power",'17 Program Economics'!$F$7:$F$32,"&lt;&gt;Open")*IF(MONTH(E$5)&gt;2,'14 Drivers'!$D$50,1)</x:f>
        <x:v>10200</x:v>
      </x:c>
      <x:c r="F14" s="175" t="n">
        <x:f>SUMIFS('17 Program Economics'!$J$7:$J$32,'17 Program Economics'!$C$7:$C$32,F$6,'17 Program Economics'!$D$7:$D$32,"Anna Power",'17 Program Economics'!$F$7:$F$32,"&lt;&gt;Open")*IF(MONTH(F$5)&gt;2,'14 Drivers'!$D$50,1)</x:f>
        <x:v>5000</x:v>
      </x:c>
      <x:c r="G14" s="175" t="n">
        <x:f>SUMIFS('17 Program Economics'!$J$7:$J$32,'17 Program Economics'!$C$7:$C$32,G$6,'17 Program Economics'!$D$7:$D$32,"Anna Power",'17 Program Economics'!$F$7:$F$32,"&lt;&gt;Open")*IF(MONTH(G$5)&gt;2,'14 Drivers'!$D$50,1)</x:f>
        <x:v>0</x:v>
      </x:c>
      <x:c r="H14" s="175" t="n">
        <x:f>SUMIFS('17 Program Economics'!$J$7:$J$32,'17 Program Economics'!$C$7:$C$32,H$6,'17 Program Economics'!$D$7:$D$32,"Anna Power",'17 Program Economics'!$F$7:$F$32,"&lt;&gt;Open")*IF(MONTH(H$5)&gt;2,'14 Drivers'!$D$50,1)</x:f>
        <x:v>2500</x:v>
      </x:c>
      <x:c r="I14" s="175" t="n">
        <x:f>SUMIFS('17 Program Economics'!$J$7:$J$32,'17 Program Economics'!$C$7:$C$32,I$6,'17 Program Economics'!$D$7:$D$32,"Anna Power",'17 Program Economics'!$F$7:$F$32,"&lt;&gt;Open")*IF(MONTH(I$5)&gt;2,'14 Drivers'!$D$50,1)</x:f>
        <x:v>0</x:v>
      </x:c>
      <x:c r="J14" s="175" t="n">
        <x:f>SUMIFS('17 Program Economics'!$J$7:$J$32,'17 Program Economics'!$C$7:$C$32,J$6,'17 Program Economics'!$D$7:$D$32,"Anna Power",'17 Program Economics'!$F$7:$F$32,"&lt;&gt;Open")*IF(MONTH(J$5)&gt;2,'14 Drivers'!$D$50,1)</x:f>
        <x:v>0</x:v>
      </x:c>
      <x:c r="K14" s="175" t="n">
        <x:f>SUMIFS('17 Program Economics'!$J$7:$J$32,'17 Program Economics'!$C$7:$C$32,K$6,'17 Program Economics'!$D$7:$D$32,"Anna Power",'17 Program Economics'!$F$7:$F$32,"&lt;&gt;Open")*IF(MONTH(K$5)&gt;2,'14 Drivers'!$D$50,1)</x:f>
        <x:v>0</x:v>
      </x:c>
      <x:c r="L14" s="175" t="n">
        <x:f>SUMIFS('17 Program Economics'!$J$7:$J$32,'17 Program Economics'!$C$7:$C$32,L$6,'17 Program Economics'!$D$7:$D$32,"Anna Power",'17 Program Economics'!$F$7:$F$32,"&lt;&gt;Open")*IF(MONTH(L$5)&gt;2,'14 Drivers'!$D$50,1)</x:f>
        <x:v>15400</x:v>
      </x:c>
      <x:c r="M14" s="175" t="n">
        <x:f>SUMIFS('17 Program Economics'!$J$7:$J$32,'17 Program Economics'!$C$7:$C$32,M$6,'17 Program Economics'!$D$7:$D$32,"Anna Power",'17 Program Economics'!$F$7:$F$32,"&lt;&gt;Open")*IF(MONTH(M$5)&gt;2,'14 Drivers'!$D$50,1)</x:f>
        <x:v>0</x:v>
      </x:c>
      <x:c r="N14" s="175" t="n">
        <x:f>SUMIFS('17 Program Economics'!$J$7:$J$32,'17 Program Economics'!$C$7:$C$32,N$6,'17 Program Economics'!$D$7:$D$32,"Anna Power",'17 Program Economics'!$F$7:$F$32,"&lt;&gt;Open")*IF(MONTH(N$5)&gt;2,'14 Drivers'!$D$50,1)</x:f>
        <x:v>5000</x:v>
      </x:c>
      <x:c r="O14" s="175" t="n">
        <x:f>SUMIFS('17 Program Economics'!$J$7:$J$32,'17 Program Economics'!$C$7:$C$32,O$6,'17 Program Economics'!$D$7:$D$32,"Anna Power",'17 Program Economics'!$F$7:$F$32,"&lt;&gt;Open")*IF(MONTH(O$5)&gt;2,'14 Drivers'!$D$50,1)</x:f>
        <x:v>0</x:v>
      </x:c>
      <x:c r="P14" s="174" t="n">
        <x:f>SUM(D14:O14)</x:f>
        <x:v>38100</x:v>
      </x:c>
      <x:c r="Q14" s="164"/>
      <x:c r="R14" s="164"/>
    </x:row>
    <x:row r="15" ht="22" customHeight="1">
      <x:c r="B15" s="164" t="str">
        <x:v>Ella source-calendar corporate revenue</x:v>
      </x:c>
      <x:c r="C15" s="164"/>
      <x:c r="D15" s="175" t="n">
        <x:f>SUMIFS('17 Program Economics'!$J$7:$J$32,'17 Program Economics'!$C$7:$C$32,D$6,'17 Program Economics'!$D$7:$D$32,"Ella Fast",'17 Program Economics'!$F$7:$F$32,"&lt;&gt;Open")</x:f>
        <x:v>0</x:v>
      </x:c>
      <x:c r="E15" s="175" t="n">
        <x:f>SUMIFS('17 Program Economics'!$J$7:$J$32,'17 Program Economics'!$C$7:$C$32,E$6,'17 Program Economics'!$D$7:$D$32,"Ella Fast",'17 Program Economics'!$F$7:$F$32,"&lt;&gt;Open")</x:f>
        <x:v>0</x:v>
      </x:c>
      <x:c r="F15" s="175" t="n">
        <x:f>SUMIFS('17 Program Economics'!$J$7:$J$32,'17 Program Economics'!$C$7:$C$32,F$6,'17 Program Economics'!$D$7:$D$32,"Ella Fast",'17 Program Economics'!$F$7:$F$32,"&lt;&gt;Open")</x:f>
        <x:v>0</x:v>
      </x:c>
      <x:c r="G15" s="175" t="n">
        <x:f>SUMIFS('17 Program Economics'!$J$7:$J$32,'17 Program Economics'!$C$7:$C$32,G$6,'17 Program Economics'!$D$7:$D$32,"Ella Fast",'17 Program Economics'!$F$7:$F$32,"&lt;&gt;Open")</x:f>
        <x:v>0</x:v>
      </x:c>
      <x:c r="H15" s="175" t="n">
        <x:f>SUMIFS('17 Program Economics'!$J$7:$J$32,'17 Program Economics'!$C$7:$C$32,H$6,'17 Program Economics'!$D$7:$D$32,"Ella Fast",'17 Program Economics'!$F$7:$F$32,"&lt;&gt;Open")</x:f>
        <x:v>0</x:v>
      </x:c>
      <x:c r="I15" s="175" t="n">
        <x:f>SUMIFS('17 Program Economics'!$J$7:$J$32,'17 Program Economics'!$C$7:$C$32,I$6,'17 Program Economics'!$D$7:$D$32,"Ella Fast",'17 Program Economics'!$F$7:$F$32,"&lt;&gt;Open")</x:f>
        <x:v>5000</x:v>
      </x:c>
      <x:c r="J15" s="175" t="n">
        <x:f>SUMIFS('17 Program Economics'!$J$7:$J$32,'17 Program Economics'!$C$7:$C$32,J$6,'17 Program Economics'!$D$7:$D$32,"Ella Fast",'17 Program Economics'!$F$7:$F$32,"&lt;&gt;Open")</x:f>
        <x:v>0</x:v>
      </x:c>
      <x:c r="K15" s="175" t="n">
        <x:f>SUMIFS('17 Program Economics'!$J$7:$J$32,'17 Program Economics'!$C$7:$C$32,K$6,'17 Program Economics'!$D$7:$D$32,"Ella Fast",'17 Program Economics'!$F$7:$F$32,"&lt;&gt;Open")</x:f>
        <x:v>5000</x:v>
      </x:c>
      <x:c r="L15" s="175" t="n">
        <x:f>SUMIFS('17 Program Economics'!$J$7:$J$32,'17 Program Economics'!$C$7:$C$32,L$6,'17 Program Economics'!$D$7:$D$32,"Ella Fast",'17 Program Economics'!$F$7:$F$32,"&lt;&gt;Open")</x:f>
        <x:v>0</x:v>
      </x:c>
      <x:c r="M15" s="175" t="n">
        <x:f>SUMIFS('17 Program Economics'!$J$7:$J$32,'17 Program Economics'!$C$7:$C$32,M$6,'17 Program Economics'!$D$7:$D$32,"Ella Fast",'17 Program Economics'!$F$7:$F$32,"&lt;&gt;Open")</x:f>
        <x:v>4450</x:v>
      </x:c>
      <x:c r="N15" s="175" t="n">
        <x:f>SUMIFS('17 Program Economics'!$J$7:$J$32,'17 Program Economics'!$C$7:$C$32,N$6,'17 Program Economics'!$D$7:$D$32,"Ella Fast",'17 Program Economics'!$F$7:$F$32,"&lt;&gt;Open")</x:f>
        <x:v>0</x:v>
      </x:c>
      <x:c r="O15" s="175" t="n">
        <x:f>SUMIFS('17 Program Economics'!$J$7:$J$32,'17 Program Economics'!$C$7:$C$32,O$6,'17 Program Economics'!$D$7:$D$32,"Ella Fast",'17 Program Economics'!$F$7:$F$32,"&lt;&gt;Open")</x:f>
        <x:v>5000</x:v>
      </x:c>
      <x:c r="P15" s="174" t="n">
        <x:f>SUM(D15:O15)</x:f>
        <x:v>19450</x:v>
      </x:c>
      <x:c r="Q15" s="164"/>
      <x:c r="R15" s="164"/>
    </x:row>
    <x:row r="16" ht="22" customHeight="1">
      <x:c r="B16" s="164" t="str">
        <x:v>Combined former portfolio calendar</x:v>
      </x:c>
      <x:c r="C16" s="164"/>
      <x:c r="D16" s="174" t="n">
        <x:f>SUM(D14:D15)</x:f>
        <x:v>0</x:v>
      </x:c>
      <x:c r="E16" s="174" t="n">
        <x:f>SUM(E14:E15)</x:f>
        <x:v>10200</x:v>
      </x:c>
      <x:c r="F16" s="174" t="n">
        <x:f>SUM(F14:F15)</x:f>
        <x:v>5000</x:v>
      </x:c>
      <x:c r="G16" s="174" t="n">
        <x:f>SUM(G14:G15)</x:f>
        <x:v>0</x:v>
      </x:c>
      <x:c r="H16" s="174" t="n">
        <x:f>SUM(H14:H15)</x:f>
        <x:v>2500</x:v>
      </x:c>
      <x:c r="I16" s="174" t="n">
        <x:f>SUM(I14:I15)</x:f>
        <x:v>5000</x:v>
      </x:c>
      <x:c r="J16" s="174" t="n">
        <x:f>SUM(J14:J15)</x:f>
        <x:v>0</x:v>
      </x:c>
      <x:c r="K16" s="174" t="n">
        <x:f>SUM(K14:K15)</x:f>
        <x:v>5000</x:v>
      </x:c>
      <x:c r="L16" s="174" t="n">
        <x:f>SUM(L14:L15)</x:f>
        <x:v>15400</x:v>
      </x:c>
      <x:c r="M16" s="174" t="n">
        <x:f>SUM(M14:M15)</x:f>
        <x:v>4450</x:v>
      </x:c>
      <x:c r="N16" s="174" t="n">
        <x:f>SUM(N14:N15)</x:f>
        <x:v>5000</x:v>
      </x:c>
      <x:c r="O16" s="174" t="n">
        <x:f>SUM(O14:O15)</x:f>
        <x:v>5000</x:v>
      </x:c>
      <x:c r="P16" s="174" t="n">
        <x:f>SUM(D16:O16)</x:f>
        <x:v>57550</x:v>
      </x:c>
      <x:c r="Q16" s="164"/>
      <x:c r="R16" s="164"/>
    </x:row>
    <x:row r="17" ht="22" customHeight="1">
      <x:c r="B17" s="164" t="str">
        <x:v>Ella benchmark after productivity ramp</x:v>
      </x:c>
      <x:c r="C17" s="164"/>
      <x:c r="D17" s="175" t="n">
        <x:f>D13*'14 Drivers'!D8</x:f>
        <x:v>0</x:v>
      </x:c>
      <x:c r="E17" s="175" t="n">
        <x:f>E13*'14 Drivers'!E8</x:f>
        <x:v>0</x:v>
      </x:c>
      <x:c r="F17" s="175" t="n">
        <x:f>F13*'14 Drivers'!F8</x:f>
        <x:v>0</x:v>
      </x:c>
      <x:c r="G17" s="175" t="n">
        <x:f>G13*'14 Drivers'!G8</x:f>
        <x:v>0</x:v>
      </x:c>
      <x:c r="H17" s="175" t="n">
        <x:f>H13*'14 Drivers'!H8</x:f>
        <x:v>0</x:v>
      </x:c>
      <x:c r="I17" s="175" t="n">
        <x:f>I13*'14 Drivers'!I8</x:f>
        <x:v>1875</x:v>
      </x:c>
      <x:c r="J17" s="175" t="n">
        <x:f>J13*'14 Drivers'!J8</x:f>
        <x:v>1250</x:v>
      </x:c>
      <x:c r="K17" s="175" t="n">
        <x:f>K13*'14 Drivers'!K8</x:f>
        <x:v>7500</x:v>
      </x:c>
      <x:c r="L17" s="175" t="n">
        <x:f>L13*'14 Drivers'!L8</x:f>
        <x:v>15000</x:v>
      </x:c>
      <x:c r="M17" s="175" t="n">
        <x:f>M13*'14 Drivers'!M8</x:f>
        <x:v>20000</x:v>
      </x:c>
      <x:c r="N17" s="175" t="n">
        <x:f>N13*'14 Drivers'!N8</x:f>
        <x:v>7500</x:v>
      </x:c>
      <x:c r="O17" s="175" t="n">
        <x:f>O13*'14 Drivers'!O8</x:f>
        <x:v>10000</x:v>
      </x:c>
      <x:c r="P17" s="174" t="n">
        <x:f>SUM(D17:O17)</x:f>
        <x:v>63125</x:v>
      </x:c>
      <x:c r="Q17" s="164"/>
      <x:c r="R17" s="164"/>
    </x:row>
    <x:row r="18" ht="22" customHeight="1">
      <x:c r="B18" s="183" t="str">
        <x:v>Former Anna portfolio envelope</x:v>
      </x:c>
      <x:c r="C18" s="183"/>
      <x:c r="D18" s="185" t="n">
        <x:f>IF(MONTH(D$5)&lt;=2,MAX(D13,D16),IF(MONTH(D$5)&lt;6,D16,MAX(D17,D16)))</x:f>
        <x:v>14500</x:v>
      </x:c>
      <x:c r="E18" s="185" t="n">
        <x:f>IF(MONTH(E$5)&lt;=2,MAX(E13,E16),IF(MONTH(E$5)&lt;6,E16,MAX(E17,E16)))</x:f>
        <x:v>10200</x:v>
      </x:c>
      <x:c r="F18" s="185" t="n">
        <x:f>IF(MONTH(F$5)&lt;=2,MAX(F13,F16),IF(MONTH(F$5)&lt;6,F16,MAX(F17,F16)))</x:f>
        <x:v>5000</x:v>
      </x:c>
      <x:c r="G18" s="185" t="n">
        <x:f>IF(MONTH(G$5)&lt;=2,MAX(G13,G16),IF(MONTH(G$5)&lt;6,G16,MAX(G17,G16)))</x:f>
        <x:v>0</x:v>
      </x:c>
      <x:c r="H18" s="185" t="n">
        <x:f>IF(MONTH(H$5)&lt;=2,MAX(H13,H16),IF(MONTH(H$5)&lt;6,H16,MAX(H17,H16)))</x:f>
        <x:v>2500</x:v>
      </x:c>
      <x:c r="I18" s="185" t="n">
        <x:f>IF(MONTH(I$5)&lt;=2,MAX(I13,I16),IF(MONTH(I$5)&lt;6,I16,MAX(I17,I16)))</x:f>
        <x:v>5000</x:v>
      </x:c>
      <x:c r="J18" s="185" t="n">
        <x:f>IF(MONTH(J$5)&lt;=2,MAX(J13,J16),IF(MONTH(J$5)&lt;6,J16,MAX(J17,J16)))</x:f>
        <x:v>1250</x:v>
      </x:c>
      <x:c r="K18" s="185" t="n">
        <x:f>IF(MONTH(K$5)&lt;=2,MAX(K13,K16),IF(MONTH(K$5)&lt;6,K16,MAX(K17,K16)))</x:f>
        <x:v>7500</x:v>
      </x:c>
      <x:c r="L18" s="185" t="n">
        <x:f>IF(MONTH(L$5)&lt;=2,MAX(L13,L16),IF(MONTH(L$5)&lt;6,L16,MAX(L17,L16)))</x:f>
        <x:v>15400</x:v>
      </x:c>
      <x:c r="M18" s="185" t="n">
        <x:f>IF(MONTH(M$5)&lt;=2,MAX(M13,M16),IF(MONTH(M$5)&lt;6,M16,MAX(M17,M16)))</x:f>
        <x:v>20000</x:v>
      </x:c>
      <x:c r="N18" s="185" t="n">
        <x:f>IF(MONTH(N$5)&lt;=2,MAX(N13,N16),IF(MONTH(N$5)&lt;6,N16,MAX(N17,N16)))</x:f>
        <x:v>7500</x:v>
      </x:c>
      <x:c r="O18" s="185" t="n">
        <x:f>IF(MONTH(O$5)&lt;=2,MAX(O13,O16),IF(MONTH(O$5)&lt;6,O16,MAX(O17,O16)))</x:f>
        <x:v>10000</x:v>
      </x:c>
      <x:c r="P18" s="185" t="n">
        <x:f>SUM(D18:O18)</x:f>
        <x:v>98850</x:v>
      </x:c>
      <x:c r="Q18" s="164"/>
      <x:c r="R18" s="188" t="str">
        <x:v>03 Sales P5/P9, 06 HR Table 1. Calendar is within envelope; no Anna employment after Feb.</x:v>
      </x:c>
    </x:row>
    <x:row r="19" ht="22" customHeight="1">
      <x:c r="B19" s="183" t="str">
        <x:v>Corporate revenue forecast</x:v>
      </x:c>
      <x:c r="C19" s="183"/>
      <x:c r="D19" s="185" t="n">
        <x:f>SUM(D10,D18)</x:f>
        <x:v>37000</x:v>
      </x:c>
      <x:c r="E19" s="185" t="n">
        <x:f>SUM(E10,E18)</x:f>
        <x:v>40200</x:v>
      </x:c>
      <x:c r="F19" s="185" t="n">
        <x:f>SUM(F10,F18)</x:f>
        <x:v>27500</x:v>
      </x:c>
      <x:c r="G19" s="185" t="n">
        <x:f>SUM(G10,G18)</x:f>
        <x:v>32500</x:v>
      </x:c>
      <x:c r="H19" s="185" t="n">
        <x:f>SUM(H10,H18)</x:f>
        <x:v>25000</x:v>
      </x:c>
      <x:c r="I19" s="185" t="n">
        <x:f>SUM(I10,I18)</x:f>
        <x:v>20000</x:v>
      </x:c>
      <x:c r="J19" s="185" t="n">
        <x:f>SUM(J10,J18)</x:f>
        <x:v>11250</x:v>
      </x:c>
      <x:c r="K19" s="185" t="n">
        <x:f>SUM(K10,K18)</x:f>
        <x:v>27500</x:v>
      </x:c>
      <x:c r="L19" s="185" t="n">
        <x:f>SUM(L10,L18)</x:f>
        <x:v>47900</x:v>
      </x:c>
      <x:c r="M19" s="185" t="n">
        <x:f>SUM(M10,M18)</x:f>
        <x:v>50000</x:v>
      </x:c>
      <x:c r="N19" s="185" t="n">
        <x:f>SUM(N10,N18)</x:f>
        <x:v>30000</x:v>
      </x:c>
      <x:c r="O19" s="185" t="n">
        <x:f>SUM(O10,O18)</x:f>
        <x:v>30000</x:v>
      </x:c>
      <x:c r="P19" s="185" t="n">
        <x:f>SUM(D19:O19)</x:f>
        <x:v>378850</x:v>
      </x:c>
      <x:c r="Q19" s="164"/>
      <x:c r="R19" s="164"/>
    </x:row>
    <x:row r="20" ht="22" customHeight="1">
      <x:c r="B20" s="164" t="str">
        <x:v>Corporate revenue within source calendar</x:v>
      </x:c>
      <x:c r="C20" s="164"/>
      <x:c r="D20" s="175" t="n">
        <x:f>SUMIFS('17 Program Economics'!$J$7:$J$32,'17 Program Economics'!$C$7:$C$32,D$6,'17 Program Economics'!$F$7:$F$32,"&lt;&gt;Open")</x:f>
        <x:v>5000</x:v>
      </x:c>
      <x:c r="E20" s="175" t="n">
        <x:f>SUMIFS('17 Program Economics'!$J$7:$J$32,'17 Program Economics'!$C$7:$C$32,E$6,'17 Program Economics'!$F$7:$F$32,"&lt;&gt;Open")</x:f>
        <x:v>12700</x:v>
      </x:c>
      <x:c r="F20" s="175" t="n">
        <x:f>SUMIFS('17 Program Economics'!$J$7:$J$32,'17 Program Economics'!$C$7:$C$32,F$6,'17 Program Economics'!$F$7:$F$32,"&lt;&gt;Open")</x:f>
        <x:v>5000</x:v>
      </x:c>
      <x:c r="G20" s="175" t="n">
        <x:f>SUMIFS('17 Program Economics'!$J$7:$J$32,'17 Program Economics'!$C$7:$C$32,G$6,'17 Program Economics'!$F$7:$F$32,"&lt;&gt;Open")</x:f>
        <x:v>12050</x:v>
      </x:c>
      <x:c r="H20" s="175" t="n">
        <x:f>SUMIFS('17 Program Economics'!$J$7:$J$32,'17 Program Economics'!$C$7:$C$32,H$6,'17 Program Economics'!$F$7:$F$32,"&lt;&gt;Open")</x:f>
        <x:v>2500</x:v>
      </x:c>
      <x:c r="I20" s="175" t="n">
        <x:f>SUMIFS('17 Program Economics'!$J$7:$J$32,'17 Program Economics'!$C$7:$C$32,I$6,'17 Program Economics'!$F$7:$F$32,"&lt;&gt;Open")</x:f>
        <x:v>16500</x:v>
      </x:c>
      <x:c r="J20" s="175" t="n">
        <x:f>SUMIFS('17 Program Economics'!$J$7:$J$32,'17 Program Economics'!$C$7:$C$32,J$6,'17 Program Economics'!$F$7:$F$32,"&lt;&gt;Open")</x:f>
        <x:v>2500</x:v>
      </x:c>
      <x:c r="K20" s="175" t="n">
        <x:f>SUMIFS('17 Program Economics'!$J$7:$J$32,'17 Program Economics'!$C$7:$C$32,K$6,'17 Program Economics'!$F$7:$F$32,"&lt;&gt;Open")</x:f>
        <x:v>5000</x:v>
      </x:c>
      <x:c r="L20" s="175" t="n">
        <x:f>SUMIFS('17 Program Economics'!$J$7:$J$32,'17 Program Economics'!$C$7:$C$32,L$6,'17 Program Economics'!$F$7:$F$32,"&lt;&gt;Open")</x:f>
        <x:v>20400</x:v>
      </x:c>
      <x:c r="M20" s="175" t="n">
        <x:f>SUMIFS('17 Program Economics'!$J$7:$J$32,'17 Program Economics'!$C$7:$C$32,M$6,'17 Program Economics'!$F$7:$F$32,"&lt;&gt;Open")</x:f>
        <x:v>9450</x:v>
      </x:c>
      <x:c r="N20" s="175" t="n">
        <x:f>SUMIFS('17 Program Economics'!$J$7:$J$32,'17 Program Economics'!$C$7:$C$32,N$6,'17 Program Economics'!$F$7:$F$32,"&lt;&gt;Open")</x:f>
        <x:v>17800</x:v>
      </x:c>
      <x:c r="O20" s="175" t="n">
        <x:f>SUMIFS('17 Program Economics'!$J$7:$J$32,'17 Program Economics'!$C$7:$C$32,O$6,'17 Program Economics'!$F$7:$F$32,"&lt;&gt;Open")</x:f>
        <x:v>7500</x:v>
      </x:c>
      <x:c r="P20" s="174" t="n">
        <x:f>SUM(D20:O20)</x:f>
        <x:v>116400</x:v>
      </x:c>
      <x:c r="Q20" s="164"/>
      <x:c r="R20" s="164"/>
    </x:row>
    <x:row r="21" ht="22" customHeight="1">
      <x:c r="B21" s="164" t="str">
        <x:v>Residual corporate forecast revenue</x:v>
      </x:c>
      <x:c r="C21" s="164"/>
      <x:c r="D21" s="174" t="n">
        <x:f>D19-D20</x:f>
        <x:v>32000</x:v>
      </x:c>
      <x:c r="E21" s="174" t="n">
        <x:f>E19-E20</x:f>
        <x:v>27500</x:v>
      </x:c>
      <x:c r="F21" s="174" t="n">
        <x:f>F19-F20</x:f>
        <x:v>22500</x:v>
      </x:c>
      <x:c r="G21" s="174" t="n">
        <x:f>G19-G20</x:f>
        <x:v>20450</x:v>
      </x:c>
      <x:c r="H21" s="174" t="n">
        <x:f>H19-H20</x:f>
        <x:v>22500</x:v>
      </x:c>
      <x:c r="I21" s="174" t="n">
        <x:f>I19-I20</x:f>
        <x:v>3500</x:v>
      </x:c>
      <x:c r="J21" s="174" t="n">
        <x:f>J19-J20</x:f>
        <x:v>8750</x:v>
      </x:c>
      <x:c r="K21" s="174" t="n">
        <x:f>K19-K20</x:f>
        <x:v>22500</x:v>
      </x:c>
      <x:c r="L21" s="174" t="n">
        <x:f>L19-L20</x:f>
        <x:v>27500</x:v>
      </x:c>
      <x:c r="M21" s="174" t="n">
        <x:f>M19-M20</x:f>
        <x:v>40550</x:v>
      </x:c>
      <x:c r="N21" s="174" t="n">
        <x:f>N19-N20</x:f>
        <x:v>12200</x:v>
      </x:c>
      <x:c r="O21" s="174" t="n">
        <x:f>O19-O20</x:f>
        <x:v>22500</x:v>
      </x:c>
      <x:c r="P21" s="174" t="n">
        <x:f>SUM(D21:O21)</x:f>
        <x:v>262450</x:v>
      </x:c>
      <x:c r="Q21" s="164"/>
      <x:c r="R21" s="164"/>
    </x:row>
    <x:row r="22" ht="22" customHeight="1">
      <x:c r="B22" s="164" t="str">
        <x:v>Expected residual standard engagements</x:v>
      </x:c>
      <x:c r="C22" s="164"/>
      <x:c r="D22" s="194" t="n">
        <x:f>D21/('14 Drivers'!$D$22*'14 Drivers'!$D$34)</x:f>
        <x:v>8.533333333333333</x:v>
      </x:c>
      <x:c r="E22" s="194" t="n">
        <x:f>E21/('14 Drivers'!$D$22*'14 Drivers'!$D$34)</x:f>
        <x:v>7.333333333333333</x:v>
      </x:c>
      <x:c r="F22" s="194" t="n">
        <x:f>F21/('14 Drivers'!$D$22*'14 Drivers'!$D$34)</x:f>
        <x:v>6</x:v>
      </x:c>
      <x:c r="G22" s="194" t="n">
        <x:f>G21/('14 Drivers'!$D$22*'14 Drivers'!$D$34)</x:f>
        <x:v>5.453333333333333</x:v>
      </x:c>
      <x:c r="H22" s="194" t="n">
        <x:f>H21/('14 Drivers'!$D$22*'14 Drivers'!$D$34)</x:f>
        <x:v>6</x:v>
      </x:c>
      <x:c r="I22" s="194" t="n">
        <x:f>I21/('14 Drivers'!$D$22*'14 Drivers'!$D$34)</x:f>
        <x:v>0.9333333333333333</x:v>
      </x:c>
      <x:c r="J22" s="194" t="n">
        <x:f>J21/('14 Drivers'!$D$22*'14 Drivers'!$D$34)</x:f>
        <x:v>2.3333333333333335</x:v>
      </x:c>
      <x:c r="K22" s="194" t="n">
        <x:f>K21/('14 Drivers'!$D$22*'14 Drivers'!$D$34)</x:f>
        <x:v>6</x:v>
      </x:c>
      <x:c r="L22" s="194" t="n">
        <x:f>L21/('14 Drivers'!$D$22*'14 Drivers'!$D$34)</x:f>
        <x:v>7.333333333333333</x:v>
      </x:c>
      <x:c r="M22" s="194" t="n">
        <x:f>M21/('14 Drivers'!$D$22*'14 Drivers'!$D$34)</x:f>
        <x:v>10.813333333333333</x:v>
      </x:c>
      <x:c r="N22" s="194" t="n">
        <x:f>N21/('14 Drivers'!$D$22*'14 Drivers'!$D$34)</x:f>
        <x:v>3.2533333333333334</x:v>
      </x:c>
      <x:c r="O22" s="194" t="n">
        <x:f>O21/('14 Drivers'!$D$22*'14 Drivers'!$D$34)</x:f>
        <x:v>6</x:v>
      </x:c>
      <x:c r="P22" s="195" t="n">
        <x:f>SUM(D22:O22)</x:f>
        <x:v>69.98666666666666</x:v>
      </x:c>
      <x:c r="Q22" s="164"/>
      <x:c r="R22" s="188" t="str">
        <x:v>Expected engagements, not discrete confirmed events. Whole bookings and dates required before execution.</x:v>
      </x:c>
    </x:row>
    <x:row r="23" ht="22" customHeight="1">
      <x:c r="B23" s="164" t="str">
        <x:v>Expected residual lead-instructor days</x:v>
      </x:c>
      <x:c r="C23" s="164"/>
      <x:c r="D23" s="194" t="n">
        <x:f>D22*'14 Drivers'!$D$34</x:f>
        <x:v>12.8</x:v>
      </x:c>
      <x:c r="E23" s="194" t="n">
        <x:f>E22*'14 Drivers'!$D$34</x:f>
        <x:v>11</x:v>
      </x:c>
      <x:c r="F23" s="194" t="n">
        <x:f>F22*'14 Drivers'!$D$34</x:f>
        <x:v>9</x:v>
      </x:c>
      <x:c r="G23" s="194" t="n">
        <x:f>G22*'14 Drivers'!$D$34</x:f>
        <x:v>8.18</x:v>
      </x:c>
      <x:c r="H23" s="194" t="n">
        <x:f>H22*'14 Drivers'!$D$34</x:f>
        <x:v>9</x:v>
      </x:c>
      <x:c r="I23" s="194" t="n">
        <x:f>I22*'14 Drivers'!$D$34</x:f>
        <x:v>1.4</x:v>
      </x:c>
      <x:c r="J23" s="194" t="n">
        <x:f>J22*'14 Drivers'!$D$34</x:f>
        <x:v>3.5</x:v>
      </x:c>
      <x:c r="K23" s="194" t="n">
        <x:f>K22*'14 Drivers'!$D$34</x:f>
        <x:v>9</x:v>
      </x:c>
      <x:c r="L23" s="194" t="n">
        <x:f>L22*'14 Drivers'!$D$34</x:f>
        <x:v>11</x:v>
      </x:c>
      <x:c r="M23" s="194" t="n">
        <x:f>M22*'14 Drivers'!$D$34</x:f>
        <x:v>16.22</x:v>
      </x:c>
      <x:c r="N23" s="194" t="n">
        <x:f>N22*'14 Drivers'!$D$34</x:f>
        <x:v>4.88</x:v>
      </x:c>
      <x:c r="O23" s="194" t="n">
        <x:f>O22*'14 Drivers'!$D$34</x:f>
        <x:v>9</x:v>
      </x:c>
      <x:c r="P23" s="195" t="n">
        <x:f>SUM(D23:O23)</x:f>
        <x:v>104.97999999999999</x:v>
      </x:c>
      <x:c r="Q23" s="164"/>
      <x:c r="R23" s="164"/>
    </x:row>
    <x:row r="24" ht="22" customHeight="1">
      <x:c r="B24" s="164" t="str">
        <x:v>Residual external instructor expense</x:v>
      </x:c>
      <x:c r="C24" s="164"/>
      <x:c r="D24" s="175" t="n">
        <x:f>-D23*'14 Drivers'!D9</x:f>
        <x:v>-8960</x:v>
      </x:c>
      <x:c r="E24" s="175" t="n">
        <x:f>-E23*'14 Drivers'!E9</x:f>
        <x:v>-7700</x:v>
      </x:c>
      <x:c r="F24" s="175" t="n">
        <x:f>-F23*'14 Drivers'!F9</x:f>
        <x:v>-6300</x:v>
      </x:c>
      <x:c r="G24" s="175" t="n">
        <x:f>-G23*'14 Drivers'!G9</x:f>
        <x:v>-5726</x:v>
      </x:c>
      <x:c r="H24" s="175" t="n">
        <x:f>-H23*'14 Drivers'!H9</x:f>
        <x:v>-6300</x:v>
      </x:c>
      <x:c r="I24" s="175" t="n">
        <x:f>-I23*'14 Drivers'!I9</x:f>
        <x:v>-979.9999999999999</x:v>
      </x:c>
      <x:c r="J24" s="175" t="n">
        <x:f>-J23*'14 Drivers'!J9</x:f>
        <x:v>-2695.0000000000005</x:v>
      </x:c>
      <x:c r="K24" s="175" t="n">
        <x:f>-K23*'14 Drivers'!K9</x:f>
        <x:v>-6930.000000000001</x:v>
      </x:c>
      <x:c r="L24" s="175" t="n">
        <x:f>-L23*'14 Drivers'!L9</x:f>
        <x:v>-8470.000000000002</x:v>
      </x:c>
      <x:c r="M24" s="175" t="n">
        <x:f>-M23*'14 Drivers'!M9</x:f>
        <x:v>-12489.400000000001</x:v>
      </x:c>
      <x:c r="N24" s="175" t="n">
        <x:f>-N23*'14 Drivers'!N9</x:f>
        <x:v>-3757.6000000000004</x:v>
      </x:c>
      <x:c r="O24" s="175" t="n">
        <x:f>-O23*'14 Drivers'!O9</x:f>
        <x:v>-6930.000000000001</x:v>
      </x:c>
      <x:c r="P24" s="174" t="n">
        <x:f>SUM(D24:O24)</x:f>
        <x:v>-77238</x:v>
      </x:c>
      <x:c r="Q24" s="164"/>
      <x:c r="R24" s="164"/>
    </x:row>
    <x:row r="25" ht="22" customHeight="1">
      <x:c r="B25" s="164" t="str">
        <x:v>Residual materials expense</x:v>
      </x:c>
      <x:c r="C25" s="164"/>
      <x:c r="D25" s="175" t="n">
        <x:f>-D23*'14 Drivers'!$D$24*'14 Drivers'!$D$31</x:f>
        <x:v>-3840</x:v>
      </x:c>
      <x:c r="E25" s="175" t="n">
        <x:f>-E23*'14 Drivers'!$D$24*'14 Drivers'!$D$31</x:f>
        <x:v>-3300</x:v>
      </x:c>
      <x:c r="F25" s="175" t="n">
        <x:f>-F23*'14 Drivers'!$D$24*'14 Drivers'!$D$31</x:f>
        <x:v>-2700</x:v>
      </x:c>
      <x:c r="G25" s="175" t="n">
        <x:f>-G23*'14 Drivers'!$D$24*'14 Drivers'!$D$31</x:f>
        <x:v>-2454</x:v>
      </x:c>
      <x:c r="H25" s="175" t="n">
        <x:f>-H23*'14 Drivers'!$D$24*'14 Drivers'!$D$31</x:f>
        <x:v>-2700</x:v>
      </x:c>
      <x:c r="I25" s="175" t="n">
        <x:f>-I23*'14 Drivers'!$D$24*'14 Drivers'!$D$31</x:f>
        <x:v>-420</x:v>
      </x:c>
      <x:c r="J25" s="175" t="n">
        <x:f>-J23*'14 Drivers'!$D$24*'14 Drivers'!$D$31</x:f>
        <x:v>-1050</x:v>
      </x:c>
      <x:c r="K25" s="175" t="n">
        <x:f>-K23*'14 Drivers'!$D$24*'14 Drivers'!$D$31</x:f>
        <x:v>-2700</x:v>
      </x:c>
      <x:c r="L25" s="175" t="n">
        <x:f>-L23*'14 Drivers'!$D$24*'14 Drivers'!$D$31</x:f>
        <x:v>-3300</x:v>
      </x:c>
      <x:c r="M25" s="175" t="n">
        <x:f>-M23*'14 Drivers'!$D$24*'14 Drivers'!$D$31</x:f>
        <x:v>-4866</x:v>
      </x:c>
      <x:c r="N25" s="175" t="n">
        <x:f>-N23*'14 Drivers'!$D$24*'14 Drivers'!$D$31</x:f>
        <x:v>-1464</x:v>
      </x:c>
      <x:c r="O25" s="175" t="n">
        <x:f>-O23*'14 Drivers'!$D$24*'14 Drivers'!$D$31</x:f>
        <x:v>-2700</x:v>
      </x:c>
      <x:c r="P25" s="174" t="n">
        <x:f>SUM(D25:O25)</x:f>
        <x:v>-31494</x:v>
      </x:c>
      <x:c r="Q25" s="164"/>
      <x:c r="R25" s="164"/>
    </x:row>
    <x:row r="26" ht="22" customHeight="1">
      <x:c r="B26" s="164" t="str">
        <x:v>Residual travel expense</x:v>
      </x:c>
      <x:c r="C26" s="164"/>
      <x:c r="D26" s="175" t="n">
        <x:f>-D23*'14 Drivers'!$D$51</x:f>
        <x:v>-2980</x:v>
      </x:c>
      <x:c r="E26" s="175" t="n">
        <x:f>-E23*'14 Drivers'!$D$51</x:f>
        <x:v>-2560.9375</x:v>
      </x:c>
      <x:c r="F26" s="175" t="n">
        <x:f>-F23*'14 Drivers'!$D$51</x:f>
        <x:v>-2095.3125</x:v>
      </x:c>
      <x:c r="G26" s="175" t="n">
        <x:f>-G23*'14 Drivers'!$D$51</x:f>
        <x:v>-1904.40625</x:v>
      </x:c>
      <x:c r="H26" s="175" t="n">
        <x:f>-H23*'14 Drivers'!$D$51</x:f>
        <x:v>-2095.3125</x:v>
      </x:c>
      <x:c r="I26" s="175" t="n">
        <x:f>-I23*'14 Drivers'!$D$51</x:f>
        <x:v>-325.9375</x:v>
      </x:c>
      <x:c r="J26" s="175" t="n">
        <x:f>-J23*'14 Drivers'!$D$51</x:f>
        <x:v>-814.84375</x:v>
      </x:c>
      <x:c r="K26" s="175" t="n">
        <x:f>-K23*'14 Drivers'!$D$51</x:f>
        <x:v>-2095.3125</x:v>
      </x:c>
      <x:c r="L26" s="175" t="n">
        <x:f>-L23*'14 Drivers'!$D$51</x:f>
        <x:v>-2560.9375</x:v>
      </x:c>
      <x:c r="M26" s="175" t="n">
        <x:f>-M23*'14 Drivers'!$D$51</x:f>
        <x:v>-3776.2187499999995</x:v>
      </x:c>
      <x:c r="N26" s="175" t="n">
        <x:f>-N23*'14 Drivers'!$D$51</x:f>
        <x:v>-1136.125</x:v>
      </x:c>
      <x:c r="O26" s="175" t="n">
        <x:f>-O23*'14 Drivers'!$D$51</x:f>
        <x:v>-2095.3125</x:v>
      </x:c>
      <x:c r="P26" s="174" t="n">
        <x:f>SUM(D26:O26)</x:f>
        <x:v>-24440.65625</x:v>
      </x:c>
      <x:c r="Q26" s="164"/>
      <x:c r="R26" s="164"/>
    </x:row>
    <x:row r="27" ht="22" customHeight="1">
      <x:c r="B27" s="164" t="str">
        <x:v>Residual ordinary commission</x:v>
      </x:c>
      <x:c r="C27" s="164"/>
      <x:c r="D27" s="175" t="n">
        <x:f>-D21*'14 Drivers'!$D$33</x:f>
        <x:v>-1600</x:v>
      </x:c>
      <x:c r="E27" s="175" t="n">
        <x:f>-E21*'14 Drivers'!$D$33</x:f>
        <x:v>-1375</x:v>
      </x:c>
      <x:c r="F27" s="175" t="n">
        <x:f>-F21*'14 Drivers'!$D$33</x:f>
        <x:v>-1125</x:v>
      </x:c>
      <x:c r="G27" s="175" t="n">
        <x:f>-G21*'14 Drivers'!$D$33</x:f>
        <x:v>-1022.5</x:v>
      </x:c>
      <x:c r="H27" s="175" t="n">
        <x:f>-H21*'14 Drivers'!$D$33</x:f>
        <x:v>-1125</x:v>
      </x:c>
      <x:c r="I27" s="175" t="n">
        <x:f>-I21*'14 Drivers'!$D$33</x:f>
        <x:v>-175</x:v>
      </x:c>
      <x:c r="J27" s="175" t="n">
        <x:f>-J21*'14 Drivers'!$D$33</x:f>
        <x:v>-437.5</x:v>
      </x:c>
      <x:c r="K27" s="175" t="n">
        <x:f>-K21*'14 Drivers'!$D$33</x:f>
        <x:v>-1125</x:v>
      </x:c>
      <x:c r="L27" s="175" t="n">
        <x:f>-L21*'14 Drivers'!$D$33</x:f>
        <x:v>-1375</x:v>
      </x:c>
      <x:c r="M27" s="175" t="n">
        <x:f>-M21*'14 Drivers'!$D$33</x:f>
        <x:v>-2027.5</x:v>
      </x:c>
      <x:c r="N27" s="175" t="n">
        <x:f>-N21*'14 Drivers'!$D$33</x:f>
        <x:v>-610</x:v>
      </x:c>
      <x:c r="O27" s="175" t="n">
        <x:f>-O21*'14 Drivers'!$D$33</x:f>
        <x:v>-1125</x:v>
      </x:c>
      <x:c r="P27" s="174" t="n">
        <x:f>SUM(D27:O27)</x:f>
        <x:v>-13122.5</x:v>
      </x:c>
      <x:c r="Q27" s="164"/>
      <x:c r="R27" s="164"/>
    </x:row>
    <x:row r="28" ht="22" customHeight="1">
      <x:c r="B28" s="183" t="str">
        <x:v>Residual corporate direct costs</x:v>
      </x:c>
      <x:c r="C28" s="183"/>
      <x:c r="D28" s="185" t="n">
        <x:f>SUM(D24:D27)</x:f>
        <x:v>-17380</x:v>
      </x:c>
      <x:c r="E28" s="185" t="n">
        <x:f>SUM(E24:E27)</x:f>
        <x:v>-14935.9375</x:v>
      </x:c>
      <x:c r="F28" s="185" t="n">
        <x:f>SUM(F24:F27)</x:f>
        <x:v>-12220.3125</x:v>
      </x:c>
      <x:c r="G28" s="185" t="n">
        <x:f>SUM(G24:G27)</x:f>
        <x:v>-11106.90625</x:v>
      </x:c>
      <x:c r="H28" s="185" t="n">
        <x:f>SUM(H24:H27)</x:f>
        <x:v>-12220.3125</x:v>
      </x:c>
      <x:c r="I28" s="185" t="n">
        <x:f>SUM(I24:I27)</x:f>
        <x:v>-1900.9375</x:v>
      </x:c>
      <x:c r="J28" s="185" t="n">
        <x:f>SUM(J24:J27)</x:f>
        <x:v>-4997.34375</x:v>
      </x:c>
      <x:c r="K28" s="185" t="n">
        <x:f>SUM(K24:K27)</x:f>
        <x:v>-12850.3125</x:v>
      </x:c>
      <x:c r="L28" s="185" t="n">
        <x:f>SUM(L24:L27)</x:f>
        <x:v>-15705.937500000002</x:v>
      </x:c>
      <x:c r="M28" s="185" t="n">
        <x:f>SUM(M24:M27)</x:f>
        <x:v>-23159.11875</x:v>
      </x:c>
      <x:c r="N28" s="185" t="n">
        <x:f>SUM(N24:N27)</x:f>
        <x:v>-6967.725</x:v>
      </x:c>
      <x:c r="O28" s="185" t="n">
        <x:f>SUM(O24:O27)</x:f>
        <x:v>-12850.3125</x:v>
      </x:c>
      <x:c r="P28" s="185" t="n">
        <x:f>SUM(D28:O28)</x:f>
        <x:v>-146295.15625</x:v>
      </x:c>
      <x:c r="Q28" s="164"/>
      <x:c r="R28" s="164"/>
    </x:row>
    <x:row r="29" ht="22" customHeight="1">
      <x:c r="B29" s="164" t="str">
        <x:v>Generated open enquiries this month</x:v>
      </x:c>
      <x:c r="C29" s="164"/>
      <x:c r="D29" s="175" t="n">
        <x:f>'03 Prior Year Marketing'!D11*'14 Drivers'!D17/'03 Prior Year Marketing'!D7</x:f>
        <x:v>59.583333333333336</x:v>
      </x:c>
      <x:c r="E29" s="175" t="n">
        <x:f>'03 Prior Year Marketing'!E11*'14 Drivers'!E17/'03 Prior Year Marketing'!E7</x:f>
        <x:v>58</x:v>
      </x:c>
      <x:c r="F29" s="175" t="n">
        <x:f>'03 Prior Year Marketing'!F11*'14 Drivers'!F17/'03 Prior Year Marketing'!F7</x:f>
        <x:v>55.38461538461539</x:v>
      </x:c>
      <x:c r="G29" s="175" t="n">
        <x:f>'03 Prior Year Marketing'!G11*'14 Drivers'!G17/'03 Prior Year Marketing'!G7</x:f>
        <x:v>55.38461538461539</x:v>
      </x:c>
      <x:c r="H29" s="175" t="n">
        <x:f>'03 Prior Year Marketing'!H11*'14 Drivers'!H17/'03 Prior Year Marketing'!H7</x:f>
        <x:v>55.2</x:v>
      </x:c>
      <x:c r="I29" s="175" t="n">
        <x:f>'03 Prior Year Marketing'!I11*'14 Drivers'!I17/'03 Prior Year Marketing'!I7</x:f>
        <x:v>47.25</x:v>
      </x:c>
      <x:c r="J29" s="175" t="n">
        <x:f>'03 Prior Year Marketing'!J11*'14 Drivers'!J17/'03 Prior Year Marketing'!J7</x:f>
        <x:v>22.4</x:v>
      </x:c>
      <x:c r="K29" s="175" t="n">
        <x:f>'03 Prior Year Marketing'!K11*'14 Drivers'!K17/'03 Prior Year Marketing'!K7</x:f>
        <x:v>36.857142857142854</x:v>
      </x:c>
      <x:c r="L29" s="175" t="n">
        <x:f>'03 Prior Year Marketing'!L11*'14 Drivers'!L17/'03 Prior Year Marketing'!L7</x:f>
        <x:v>70.4</x:v>
      </x:c>
      <x:c r="M29" s="175" t="n">
        <x:f>'03 Prior Year Marketing'!M11*'14 Drivers'!M17/'03 Prior Year Marketing'!M7</x:f>
        <x:v>82.5</x:v>
      </x:c>
      <x:c r="N29" s="175" t="n">
        <x:f>'03 Prior Year Marketing'!N11*'14 Drivers'!N17/'03 Prior Year Marketing'!N7</x:f>
        <x:v>63.07692307692308</x:v>
      </x:c>
      <x:c r="O29" s="175" t="n">
        <x:f>'03 Prior Year Marketing'!O11*'14 Drivers'!O17/'03 Prior Year Marketing'!O7</x:f>
        <x:v>46.666666666666664</x:v>
      </x:c>
      <x:c r="P29" s="174" t="n">
        <x:f>SUM(D29:O29)</x:f>
        <x:v>652.7032967032967</x:v>
      </x:c>
      <x:c r="Q29" s="164"/>
      <x:c r="R29" s="188" t="str">
        <x:v>03 Prior Year Marketing row 11 × 2026/2025 same-month appropriation. Assumed proportional response.</x:v>
      </x:c>
    </x:row>
    <x:row r="30" ht="22" customHeight="1">
      <x:c r="B30" s="164" t="str">
        <x:v>Prior-month enquiries available to sell</x:v>
      </x:c>
      <x:c r="C30" s="164"/>
      <x:c r="D30" s="175" t="n">
        <x:f>'03 Prior Year Marketing'!O11</x:f>
        <x:v>60</x:v>
      </x:c>
      <x:c r="E30" s="174" t="n">
        <x:f>D29</x:f>
        <x:v>59.583333333333336</x:v>
      </x:c>
      <x:c r="F30" s="174" t="n">
        <x:f>E29</x:f>
        <x:v>58</x:v>
      </x:c>
      <x:c r="G30" s="174" t="n">
        <x:f>F29</x:f>
        <x:v>55.38461538461539</x:v>
      </x:c>
      <x:c r="H30" s="174" t="n">
        <x:f>G29</x:f>
        <x:v>55.38461538461539</x:v>
      </x:c>
      <x:c r="I30" s="174" t="n">
        <x:f>H29</x:f>
        <x:v>55.2</x:v>
      </x:c>
      <x:c r="J30" s="174" t="n">
        <x:f>I29</x:f>
        <x:v>47.25</x:v>
      </x:c>
      <x:c r="K30" s="174" t="n">
        <x:f>J29</x:f>
        <x:v>22.4</x:v>
      </x:c>
      <x:c r="L30" s="174" t="n">
        <x:f>K29</x:f>
        <x:v>36.857142857142854</x:v>
      </x:c>
      <x:c r="M30" s="174" t="n">
        <x:f>L29</x:f>
        <x:v>70.4</x:v>
      </x:c>
      <x:c r="N30" s="174" t="n">
        <x:f>M29</x:f>
        <x:v>82.5</x:v>
      </x:c>
      <x:c r="O30" s="174" t="n">
        <x:f>N29</x:f>
        <x:v>63.07692307692308</x:v>
      </x:c>
      <x:c r="P30" s="174" t="n">
        <x:f>SUM(D30:O30)</x:f>
        <x:v>666.03663003663</x:v>
      </x:c>
      <x:c r="Q30" s="164"/>
      <x:c r="R30" s="188" t="str">
        <x:v>One-month lag. Jan opening basis is 2025 Dec enquiries, 03 O11.</x:v>
      </x:c>
    </x:row>
    <x:row r="31" ht="22" customHeight="1">
      <x:c r="B31" s="164" t="str">
        <x:v>Expected pooled open conversion</x:v>
      </x:c>
      <x:c r="C31" s="164"/>
      <x:c r="D31" s="191" t="n">
        <x:f>'14 Drivers'!$D$46*'14 Drivers'!$D$47</x:f>
        <x:v>0.2423500611995104</x:v>
      </x:c>
      <x:c r="E31" s="191" t="n">
        <x:f>'14 Drivers'!$D$46*'14 Drivers'!$D$47</x:f>
        <x:v>0.2423500611995104</x:v>
      </x:c>
      <x:c r="F31" s="191" t="n">
        <x:f>'14 Drivers'!$D$46*'14 Drivers'!$D$47</x:f>
        <x:v>0.2423500611995104</x:v>
      </x:c>
      <x:c r="G31" s="191" t="n">
        <x:f>'14 Drivers'!$D$46*'14 Drivers'!$D$47</x:f>
        <x:v>0.2423500611995104</x:v>
      </x:c>
      <x:c r="H31" s="191" t="n">
        <x:f>'14 Drivers'!$D$46*'14 Drivers'!$D$47</x:f>
        <x:v>0.2423500611995104</x:v>
      </x:c>
      <x:c r="I31" s="191" t="n">
        <x:f>'14 Drivers'!$D$46*'14 Drivers'!$D$47</x:f>
        <x:v>0.2423500611995104</x:v>
      </x:c>
      <x:c r="J31" s="191" t="n">
        <x:f>'14 Drivers'!$D$46*'14 Drivers'!$D$47</x:f>
        <x:v>0.2423500611995104</x:v>
      </x:c>
      <x:c r="K31" s="191" t="n">
        <x:f>'14 Drivers'!$D$46*'14 Drivers'!$D$47</x:f>
        <x:v>0.2423500611995104</x:v>
      </x:c>
      <x:c r="L31" s="191" t="n">
        <x:f>'14 Drivers'!$D$46*'14 Drivers'!$D$47</x:f>
        <x:v>0.2423500611995104</x:v>
      </x:c>
      <x:c r="M31" s="191" t="n">
        <x:f>'14 Drivers'!$D$46*'14 Drivers'!$D$47</x:f>
        <x:v>0.2423500611995104</x:v>
      </x:c>
      <x:c r="N31" s="191" t="n">
        <x:f>'14 Drivers'!$D$46*'14 Drivers'!$D$47</x:f>
        <x:v>0.2423500611995104</x:v>
      </x:c>
      <x:c r="O31" s="191" t="n">
        <x:f>'14 Drivers'!$D$46*'14 Drivers'!$D$47</x:f>
        <x:v>0.2423500611995104</x:v>
      </x:c>
      <x:c r="P31" s="174"/>
      <x:c r="Q31" s="164"/>
      <x:c r="R31" s="164"/>
    </x:row>
    <x:row r="32" ht="22" customHeight="1">
      <x:c r="B32" s="164" t="str">
        <x:v>Expected open-seat demand (rounded down)</x:v>
      </x:c>
      <x:c r="C32" s="164"/>
      <x:c r="D32" s="179" t="n">
        <x:f>ROUNDDOWN(D30*D31,0)</x:f>
        <x:v>14</x:v>
      </x:c>
      <x:c r="E32" s="179" t="n">
        <x:f>ROUNDDOWN(E30*E31,0)</x:f>
        <x:v>14</x:v>
      </x:c>
      <x:c r="F32" s="179" t="n">
        <x:f>ROUNDDOWN(F30*F31,0)</x:f>
        <x:v>14</x:v>
      </x:c>
      <x:c r="G32" s="179" t="n">
        <x:f>ROUNDDOWN(G30*G31,0)</x:f>
        <x:v>13</x:v>
      </x:c>
      <x:c r="H32" s="179" t="n">
        <x:f>ROUNDDOWN(H30*H31,0)</x:f>
        <x:v>13</x:v>
      </x:c>
      <x:c r="I32" s="179" t="n">
        <x:f>ROUNDDOWN(I30*I31,0)</x:f>
        <x:v>13</x:v>
      </x:c>
      <x:c r="J32" s="179" t="n">
        <x:f>ROUNDDOWN(J30*J31,0)</x:f>
        <x:v>11</x:v>
      </x:c>
      <x:c r="K32" s="179" t="n">
        <x:f>ROUNDDOWN(K30*K31,0)</x:f>
        <x:v>5</x:v>
      </x:c>
      <x:c r="L32" s="179" t="n">
        <x:f>ROUNDDOWN(L30*L31,0)</x:f>
        <x:v>8</x:v>
      </x:c>
      <x:c r="M32" s="179" t="n">
        <x:f>ROUNDDOWN(M30*M31,0)</x:f>
        <x:v>17</x:v>
      </x:c>
      <x:c r="N32" s="179" t="n">
        <x:f>ROUNDDOWN(N30*N31,0)</x:f>
        <x:v>19</x:v>
      </x:c>
      <x:c r="O32" s="179" t="n">
        <x:f>ROUNDDOWN(O30*O31,0)</x:f>
        <x:v>15</x:v>
      </x:c>
      <x:c r="P32" s="179" t="n">
        <x:f>SUM(D32:O32)</x:f>
        <x:v>156</x:v>
      </x:c>
      <x:c r="Q32" s="164"/>
      <x:c r="R32" s="164"/>
    </x:row>
    <x:row r="33" ht="22" customHeight="1">
      <x:c r="B33" s="164" t="str">
        <x:v>Source-calendar planned open participants</x:v>
      </x:c>
      <x:c r="C33" s="164"/>
      <x:c r="D33" s="196" t="n">
        <x:f>SUMIFS('06 Draft Program Plan'!$H$7:$H$32,'06 Draft Program Plan'!$C$7:$C$32,D$6,'06 Draft Program Plan'!$F$7:$F$32,"Open")</x:f>
        <x:v>18</x:v>
      </x:c>
      <x:c r="E33" s="196" t="n">
        <x:f>SUMIFS('06 Draft Program Plan'!$H$7:$H$32,'06 Draft Program Plan'!$C$7:$C$32,E$6,'06 Draft Program Plan'!$F$7:$F$32,"Open")</x:f>
        <x:v>0</x:v>
      </x:c>
      <x:c r="F33" s="196" t="n">
        <x:f>SUMIFS('06 Draft Program Plan'!$H$7:$H$32,'06 Draft Program Plan'!$C$7:$C$32,F$6,'06 Draft Program Plan'!$F$7:$F$32,"Open")</x:f>
        <x:v>20</x:v>
      </x:c>
      <x:c r="G33" s="196" t="n">
        <x:f>SUMIFS('06 Draft Program Plan'!$H$7:$H$32,'06 Draft Program Plan'!$C$7:$C$32,G$6,'06 Draft Program Plan'!$F$7:$F$32,"Open")</x:f>
        <x:v>0</x:v>
      </x:c>
      <x:c r="H33" s="196" t="n">
        <x:f>SUMIFS('06 Draft Program Plan'!$H$7:$H$32,'06 Draft Program Plan'!$C$7:$C$32,H$6,'06 Draft Program Plan'!$F$7:$F$32,"Open")</x:f>
        <x:v>18</x:v>
      </x:c>
      <x:c r="I33" s="196" t="n">
        <x:f>SUMIFS('06 Draft Program Plan'!$H$7:$H$32,'06 Draft Program Plan'!$C$7:$C$32,I$6,'06 Draft Program Plan'!$F$7:$F$32,"Open")</x:f>
        <x:v>0</x:v>
      </x:c>
      <x:c r="J33" s="196" t="n">
        <x:f>SUMIFS('06 Draft Program Plan'!$H$7:$H$32,'06 Draft Program Plan'!$C$7:$C$32,J$6,'06 Draft Program Plan'!$F$7:$F$32,"Open")</x:f>
        <x:v>0</x:v>
      </x:c>
      <x:c r="K33" s="196" t="n">
        <x:f>SUMIFS('06 Draft Program Plan'!$H$7:$H$32,'06 Draft Program Plan'!$C$7:$C$32,K$6,'06 Draft Program Plan'!$F$7:$F$32,"Open")</x:f>
        <x:v>20</x:v>
      </x:c>
      <x:c r="L33" s="196" t="n">
        <x:f>SUMIFS('06 Draft Program Plan'!$H$7:$H$32,'06 Draft Program Plan'!$C$7:$C$32,L$6,'06 Draft Program Plan'!$F$7:$F$32,"Open")</x:f>
        <x:v>20</x:v>
      </x:c>
      <x:c r="M33" s="196" t="n">
        <x:f>SUMIFS('06 Draft Program Plan'!$H$7:$H$32,'06 Draft Program Plan'!$C$7:$C$32,M$6,'06 Draft Program Plan'!$F$7:$F$32,"Open")</x:f>
        <x:v>20</x:v>
      </x:c>
      <x:c r="N33" s="196" t="n">
        <x:f>SUMIFS('06 Draft Program Plan'!$H$7:$H$32,'06 Draft Program Plan'!$C$7:$C$32,N$6,'06 Draft Program Plan'!$F$7:$F$32,"Open")</x:f>
        <x:v>20</x:v>
      </x:c>
      <x:c r="O33" s="196" t="n">
        <x:f>SUMIFS('06 Draft Program Plan'!$H$7:$H$32,'06 Draft Program Plan'!$C$7:$C$32,O$6,'06 Draft Program Plan'!$F$7:$F$32,"Open")</x:f>
        <x:v>0</x:v>
      </x:c>
      <x:c r="P33" s="179" t="n">
        <x:f>SUM(D33:O33)</x:f>
        <x:v>136</x:v>
      </x:c>
      <x:c r="Q33" s="164"/>
      <x:c r="R33" s="164"/>
    </x:row>
    <x:row r="34" ht="22" customHeight="1">
      <x:c r="B34" s="164" t="str">
        <x:v>Part 1 open seats sold</x:v>
      </x:c>
      <x:c r="C34" s="164"/>
      <x:c r="D34" s="196" t="n">
        <x:f>SUMIFS('17 Program Economics'!$H$7:$H$32,'17 Program Economics'!$C$7:$C$32,D$6,'17 Program Economics'!$F$7:$F$32,"Open")</x:f>
        <x:v>14</x:v>
      </x:c>
      <x:c r="E34" s="196" t="n">
        <x:f>SUMIFS('17 Program Economics'!$H$7:$H$32,'17 Program Economics'!$C$7:$C$32,E$6,'17 Program Economics'!$F$7:$F$32,"Open")</x:f>
        <x:v>0</x:v>
      </x:c>
      <x:c r="F34" s="196" t="n">
        <x:f>SUMIFS('17 Program Economics'!$H$7:$H$32,'17 Program Economics'!$C$7:$C$32,F$6,'17 Program Economics'!$F$7:$F$32,"Open")</x:f>
        <x:v>14</x:v>
      </x:c>
      <x:c r="G34" s="196" t="n">
        <x:f>SUMIFS('17 Program Economics'!$H$7:$H$32,'17 Program Economics'!$C$7:$C$32,G$6,'17 Program Economics'!$F$7:$F$32,"Open")</x:f>
        <x:v>0</x:v>
      </x:c>
      <x:c r="H34" s="196" t="n">
        <x:f>SUMIFS('17 Program Economics'!$H$7:$H$32,'17 Program Economics'!$C$7:$C$32,H$6,'17 Program Economics'!$F$7:$F$32,"Open")</x:f>
        <x:v>13</x:v>
      </x:c>
      <x:c r="I34" s="196" t="n">
        <x:f>SUMIFS('17 Program Economics'!$H$7:$H$32,'17 Program Economics'!$C$7:$C$32,I$6,'17 Program Economics'!$F$7:$F$32,"Open")</x:f>
        <x:v>0</x:v>
      </x:c>
      <x:c r="J34" s="196" t="n">
        <x:f>SUMIFS('17 Program Economics'!$H$7:$H$32,'17 Program Economics'!$C$7:$C$32,J$6,'17 Program Economics'!$F$7:$F$32,"Open")</x:f>
        <x:v>0</x:v>
      </x:c>
      <x:c r="K34" s="196" t="n">
        <x:f>SUMIFS('17 Program Economics'!$H$7:$H$32,'17 Program Economics'!$C$7:$C$32,K$6,'17 Program Economics'!$F$7:$F$32,"Open")</x:f>
        <x:v>5</x:v>
      </x:c>
      <x:c r="L34" s="196" t="n">
        <x:f>SUMIFS('17 Program Economics'!$H$7:$H$32,'17 Program Economics'!$C$7:$C$32,L$6,'17 Program Economics'!$F$7:$F$32,"Open")</x:f>
        <x:v>8</x:v>
      </x:c>
      <x:c r="M34" s="196" t="n">
        <x:f>SUMIFS('17 Program Economics'!$H$7:$H$32,'17 Program Economics'!$C$7:$C$32,M$6,'17 Program Economics'!$F$7:$F$32,"Open")</x:f>
        <x:v>17</x:v>
      </x:c>
      <x:c r="N34" s="196" t="n">
        <x:f>SUMIFS('17 Program Economics'!$H$7:$H$32,'17 Program Economics'!$C$7:$C$32,N$6,'17 Program Economics'!$F$7:$F$32,"Open")</x:f>
        <x:v>19</x:v>
      </x:c>
      <x:c r="O34" s="196" t="n">
        <x:f>SUMIFS('17 Program Economics'!$H$7:$H$32,'17 Program Economics'!$C$7:$C$32,O$6,'17 Program Economics'!$F$7:$F$32,"Open")</x:f>
        <x:v>0</x:v>
      </x:c>
      <x:c r="P34" s="179" t="n">
        <x:f>SUM(D34:O34)</x:f>
        <x:v>90</x:v>
      </x:c>
      <x:c r="Q34" s="164"/>
      <x:c r="R34" s="164"/>
    </x:row>
    <x:row r="35" ht="22" customHeight="1">
      <x:c r="B35" s="164" t="str">
        <x:v>Unserved open-seat demand</x:v>
      </x:c>
      <x:c r="C35" s="164"/>
      <x:c r="D35" s="179" t="n">
        <x:f>MAX(0,D32-D34)</x:f>
        <x:v>0</x:v>
      </x:c>
      <x:c r="E35" s="179" t="n">
        <x:f>MAX(0,E32-E34)</x:f>
        <x:v>14</x:v>
      </x:c>
      <x:c r="F35" s="179" t="n">
        <x:f>MAX(0,F32-F34)</x:f>
        <x:v>0</x:v>
      </x:c>
      <x:c r="G35" s="179" t="n">
        <x:f>MAX(0,G32-G34)</x:f>
        <x:v>13</x:v>
      </x:c>
      <x:c r="H35" s="179" t="n">
        <x:f>MAX(0,H32-H34)</x:f>
        <x:v>0</x:v>
      </x:c>
      <x:c r="I35" s="179" t="n">
        <x:f>MAX(0,I32-I34)</x:f>
        <x:v>13</x:v>
      </x:c>
      <x:c r="J35" s="179" t="n">
        <x:f>MAX(0,J32-J34)</x:f>
        <x:v>11</x:v>
      </x:c>
      <x:c r="K35" s="179" t="n">
        <x:f>MAX(0,K32-K34)</x:f>
        <x:v>0</x:v>
      </x:c>
      <x:c r="L35" s="179" t="n">
        <x:f>MAX(0,L32-L34)</x:f>
        <x:v>0</x:v>
      </x:c>
      <x:c r="M35" s="179" t="n">
        <x:f>MAX(0,M32-M34)</x:f>
        <x:v>0</x:v>
      </x:c>
      <x:c r="N35" s="179" t="n">
        <x:f>MAX(0,N32-N34)</x:f>
        <x:v>0</x:v>
      </x:c>
      <x:c r="O35" s="179" t="n">
        <x:f>MAX(0,O32-O34)</x:f>
        <x:v>15</x:v>
      </x:c>
      <x:c r="P35" s="179" t="n">
        <x:f>SUM(D35:O35)</x:f>
        <x:v>66</x:v>
      </x:c>
      <x:c r="Q35" s="164"/>
      <x:c r="R35" s="188" t="str">
        <x:v>Unserved demand is not Part 1 revenue. New open dates belong to Part 2.</x:v>
      </x:c>
    </x:row>
    <x:row r="36" ht="22" customHeight="1">
      <x:c r="B36" s="183" t="str">
        <x:v>Part 1 open revenue</x:v>
      </x:c>
      <x:c r="C36" s="183"/>
      <x:c r="D36" s="187" t="n">
        <x:f>SUMIFS('17 Program Economics'!$J$7:$J$32,'17 Program Economics'!$C$7:$C$32,D$6,'17 Program Economics'!$F$7:$F$32,"Open")</x:f>
        <x:v>2800</x:v>
      </x:c>
      <x:c r="E36" s="187" t="n">
        <x:f>SUMIFS('17 Program Economics'!$J$7:$J$32,'17 Program Economics'!$C$7:$C$32,E$6,'17 Program Economics'!$F$7:$F$32,"Open")</x:f>
        <x:v>0</x:v>
      </x:c>
      <x:c r="F36" s="187" t="n">
        <x:f>SUMIFS('17 Program Economics'!$J$7:$J$32,'17 Program Economics'!$C$7:$C$32,F$6,'17 Program Economics'!$F$7:$F$32,"Open")</x:f>
        <x:v>7000</x:v>
      </x:c>
      <x:c r="G36" s="187" t="n">
        <x:f>SUMIFS('17 Program Economics'!$J$7:$J$32,'17 Program Economics'!$C$7:$C$32,G$6,'17 Program Economics'!$F$7:$F$32,"Open")</x:f>
        <x:v>0</x:v>
      </x:c>
      <x:c r="H36" s="187" t="n">
        <x:f>SUMIFS('17 Program Economics'!$J$7:$J$32,'17 Program Economics'!$C$7:$C$32,H$6,'17 Program Economics'!$F$7:$F$32,"Open")</x:f>
        <x:v>7800</x:v>
      </x:c>
      <x:c r="I36" s="187" t="n">
        <x:f>SUMIFS('17 Program Economics'!$J$7:$J$32,'17 Program Economics'!$C$7:$C$32,I$6,'17 Program Economics'!$F$7:$F$32,"Open")</x:f>
        <x:v>0</x:v>
      </x:c>
      <x:c r="J36" s="187" t="n">
        <x:f>SUMIFS('17 Program Economics'!$J$7:$J$32,'17 Program Economics'!$C$7:$C$32,J$6,'17 Program Economics'!$F$7:$F$32,"Open")</x:f>
        <x:v>0</x:v>
      </x:c>
      <x:c r="K36" s="187" t="n">
        <x:f>SUMIFS('17 Program Economics'!$J$7:$J$32,'17 Program Economics'!$C$7:$C$32,K$6,'17 Program Economics'!$F$7:$F$32,"Open")</x:f>
        <x:v>1000</x:v>
      </x:c>
      <x:c r="L36" s="187" t="n">
        <x:f>SUMIFS('17 Program Economics'!$J$7:$J$32,'17 Program Economics'!$C$7:$C$32,L$6,'17 Program Economics'!$F$7:$F$32,"Open")</x:f>
        <x:v>4800</x:v>
      </x:c>
      <x:c r="M36" s="187" t="n">
        <x:f>SUMIFS('17 Program Economics'!$J$7:$J$32,'17 Program Economics'!$C$7:$C$32,M$6,'17 Program Economics'!$F$7:$F$32,"Open")</x:f>
        <x:v>8500</x:v>
      </x:c>
      <x:c r="N36" s="187" t="n">
        <x:f>SUMIFS('17 Program Economics'!$J$7:$J$32,'17 Program Economics'!$C$7:$C$32,N$6,'17 Program Economics'!$F$7:$F$32,"Open")</x:f>
        <x:v>3800</x:v>
      </x:c>
      <x:c r="O36" s="187" t="n">
        <x:f>SUMIFS('17 Program Economics'!$J$7:$J$32,'17 Program Economics'!$C$7:$C$32,O$6,'17 Program Economics'!$F$7:$F$32,"Open")</x:f>
        <x:v>0</x:v>
      </x:c>
      <x:c r="P36" s="185" t="n">
        <x:f>SUM(D36:O36)</x:f>
        <x:v>35700</x:v>
      </x:c>
      <x:c r="Q36" s="164"/>
      <x:c r="R36" s="164"/>
    </x:row>
    <x:row r="37" ht="22" customHeight="1">
      <x:c r="B37" s="164" t="str">
        <x:v>All source-calendar revenue</x:v>
      </x:c>
      <x:c r="C37" s="164"/>
      <x:c r="D37" s="175" t="n">
        <x:f>SUMIFS('17 Program Economics'!$J$7:$J$32,'17 Program Economics'!$C$7:$C$32,D$6)</x:f>
        <x:v>7800</x:v>
      </x:c>
      <x:c r="E37" s="175" t="n">
        <x:f>SUMIFS('17 Program Economics'!$J$7:$J$32,'17 Program Economics'!$C$7:$C$32,E$6)</x:f>
        <x:v>12700</x:v>
      </x:c>
      <x:c r="F37" s="175" t="n">
        <x:f>SUMIFS('17 Program Economics'!$J$7:$J$32,'17 Program Economics'!$C$7:$C$32,F$6)</x:f>
        <x:v>12000</x:v>
      </x:c>
      <x:c r="G37" s="175" t="n">
        <x:f>SUMIFS('17 Program Economics'!$J$7:$J$32,'17 Program Economics'!$C$7:$C$32,G$6)</x:f>
        <x:v>12050</x:v>
      </x:c>
      <x:c r="H37" s="175" t="n">
        <x:f>SUMIFS('17 Program Economics'!$J$7:$J$32,'17 Program Economics'!$C$7:$C$32,H$6)</x:f>
        <x:v>10300</x:v>
      </x:c>
      <x:c r="I37" s="175" t="n">
        <x:f>SUMIFS('17 Program Economics'!$J$7:$J$32,'17 Program Economics'!$C$7:$C$32,I$6)</x:f>
        <x:v>16500</x:v>
      </x:c>
      <x:c r="J37" s="175" t="n">
        <x:f>SUMIFS('17 Program Economics'!$J$7:$J$32,'17 Program Economics'!$C$7:$C$32,J$6)</x:f>
        <x:v>2500</x:v>
      </x:c>
      <x:c r="K37" s="175" t="n">
        <x:f>SUMIFS('17 Program Economics'!$J$7:$J$32,'17 Program Economics'!$C$7:$C$32,K$6)</x:f>
        <x:v>6000</x:v>
      </x:c>
      <x:c r="L37" s="175" t="n">
        <x:f>SUMIFS('17 Program Economics'!$J$7:$J$32,'17 Program Economics'!$C$7:$C$32,L$6)</x:f>
        <x:v>25200</x:v>
      </x:c>
      <x:c r="M37" s="175" t="n">
        <x:f>SUMIFS('17 Program Economics'!$J$7:$J$32,'17 Program Economics'!$C$7:$C$32,M$6)</x:f>
        <x:v>17950</x:v>
      </x:c>
      <x:c r="N37" s="175" t="n">
        <x:f>SUMIFS('17 Program Economics'!$J$7:$J$32,'17 Program Economics'!$C$7:$C$32,N$6)</x:f>
        <x:v>21600</x:v>
      </x:c>
      <x:c r="O37" s="175" t="n">
        <x:f>SUMIFS('17 Program Economics'!$J$7:$J$32,'17 Program Economics'!$C$7:$C$32,O$6)</x:f>
        <x:v>7500</x:v>
      </x:c>
      <x:c r="P37" s="174" t="n">
        <x:f>SUM(D37:O37)</x:f>
        <x:v>152100</x:v>
      </x:c>
      <x:c r="Q37" s="164"/>
      <x:c r="R37" s="164"/>
    </x:row>
    <x:row r="38" ht="22" customHeight="1">
      <x:c r="B38" s="164" t="str">
        <x:v>All source-calendar direct costs</x:v>
      </x:c>
      <x:c r="C38" s="164"/>
      <x:c r="D38" s="175" t="n">
        <x:f>SUMIFS('17 Program Economics'!$R$7:$R$32,'17 Program Economics'!$C$7:$C$32,D$6)</x:f>
        <x:v>-3900</x:v>
      </x:c>
      <x:c r="E38" s="175" t="n">
        <x:f>SUMIFS('17 Program Economics'!$R$7:$R$32,'17 Program Economics'!$C$7:$C$32,E$6)</x:f>
        <x:v>-5955</x:v>
      </x:c>
      <x:c r="F38" s="175" t="n">
        <x:f>SUMIFS('17 Program Economics'!$R$7:$R$32,'17 Program Economics'!$C$7:$C$32,F$6)</x:f>
        <x:v>-5920</x:v>
      </x:c>
      <x:c r="G38" s="175" t="n">
        <x:f>SUMIFS('17 Program Economics'!$R$7:$R$32,'17 Program Economics'!$C$7:$C$32,G$6)</x:f>
        <x:v>-6152.5</x:v>
      </x:c>
      <x:c r="H38" s="175" t="n">
        <x:f>SUMIFS('17 Program Economics'!$R$7:$R$32,'17 Program Economics'!$C$7:$C$32,H$6)</x:f>
        <x:v>-4505</x:v>
      </x:c>
      <x:c r="I38" s="175" t="n">
        <x:f>SUMIFS('17 Program Economics'!$R$7:$R$32,'17 Program Economics'!$C$7:$C$32,I$6)</x:f>
        <x:v>-8025</x:v>
      </x:c>
      <x:c r="J38" s="175" t="n">
        <x:f>SUMIFS('17 Program Economics'!$R$7:$R$32,'17 Program Economics'!$C$7:$C$32,J$6)</x:f>
        <x:v>-1195</x:v>
      </x:c>
      <x:c r="K38" s="175" t="n">
        <x:f>SUMIFS('17 Program Economics'!$R$7:$R$32,'17 Program Economics'!$C$7:$C$32,K$6)</x:f>
        <x:v>-4385</x:v>
      </x:c>
      <x:c r="L38" s="175" t="n">
        <x:f>SUMIFS('17 Program Economics'!$R$7:$R$32,'17 Program Economics'!$C$7:$C$32,L$6)</x:f>
        <x:v>-13575</x:v>
      </x:c>
      <x:c r="M38" s="175" t="n">
        <x:f>SUMIFS('17 Program Economics'!$R$7:$R$32,'17 Program Economics'!$C$7:$C$32,M$6)</x:f>
        <x:v>-8700</x:v>
      </x:c>
      <x:c r="N38" s="175" t="n">
        <x:f>SUMIFS('17 Program Economics'!$R$7:$R$32,'17 Program Economics'!$C$7:$C$32,N$6)</x:f>
        <x:v>-10635</x:v>
      </x:c>
      <x:c r="O38" s="175" t="n">
        <x:f>SUMIFS('17 Program Economics'!$R$7:$R$32,'17 Program Economics'!$C$7:$C$32,O$6)</x:f>
        <x:v>-4035</x:v>
      </x:c>
      <x:c r="P38" s="174" t="n">
        <x:f>SUM(D38:O38)</x:f>
        <x:v>-76982.5</x:v>
      </x:c>
      <x:c r="Q38" s="164"/>
      <x:c r="R38" s="188" t="str">
        <x:v>All 26 current planned events are expected-delivery assumptions. External leads are the source simplification.</x:v>
      </x:c>
    </x:row>
    <x:row r="39" ht="22" customHeight="1">
      <x:c r="B39" s="164" t="str">
        <x:v>Total lead-instructor delivery days</x:v>
      </x:c>
      <x:c r="C39" s="164"/>
      <x:c r="D39" s="194" t="n">
        <x:f>SUMIFS('17 Program Economics'!$G$7:$G$32,'17 Program Economics'!$C$7:$C$32,D$6)+D23</x:f>
        <x:v>15.8</x:v>
      </x:c>
      <x:c r="E39" s="194" t="n">
        <x:f>SUMIFS('17 Program Economics'!$G$7:$G$32,'17 Program Economics'!$C$7:$C$32,E$6)+E23</x:f>
        <x:v>14</x:v>
      </x:c>
      <x:c r="F39" s="194" t="n">
        <x:f>SUMIFS('17 Program Economics'!$G$7:$G$32,'17 Program Economics'!$C$7:$C$32,F$6)+F23</x:f>
        <x:v>13</x:v>
      </x:c>
      <x:c r="G39" s="194" t="n">
        <x:f>SUMIFS('17 Program Economics'!$G$7:$G$32,'17 Program Economics'!$C$7:$C$32,G$6)+G23</x:f>
        <x:v>11.18</x:v>
      </x:c>
      <x:c r="H39" s="194" t="n">
        <x:f>SUMIFS('17 Program Economics'!$G$7:$G$32,'17 Program Economics'!$C$7:$C$32,H$6)+H23</x:f>
        <x:v>12</x:v>
      </x:c>
      <x:c r="I39" s="194" t="n">
        <x:f>SUMIFS('17 Program Economics'!$G$7:$G$32,'17 Program Economics'!$C$7:$C$32,I$6)+I23</x:f>
        <x:v>5.4</x:v>
      </x:c>
      <x:c r="J39" s="194" t="n">
        <x:f>SUMIFS('17 Program Economics'!$G$7:$G$32,'17 Program Economics'!$C$7:$C$32,J$6)+J23</x:f>
        <x:v>4.5</x:v>
      </x:c>
      <x:c r="K39" s="194" t="n">
        <x:f>SUMIFS('17 Program Economics'!$G$7:$G$32,'17 Program Economics'!$C$7:$C$32,K$6)+K23</x:f>
        <x:v>12</x:v>
      </x:c>
      <x:c r="L39" s="194" t="n">
        <x:f>SUMIFS('17 Program Economics'!$G$7:$G$32,'17 Program Economics'!$C$7:$C$32,L$6)+L23</x:f>
        <x:v>17</x:v>
      </x:c>
      <x:c r="M39" s="194" t="n">
        <x:f>SUMIFS('17 Program Economics'!$G$7:$G$32,'17 Program Economics'!$C$7:$C$32,M$6)+M23</x:f>
        <x:v>21.22</x:v>
      </x:c>
      <x:c r="N39" s="194" t="n">
        <x:f>SUMIFS('17 Program Economics'!$G$7:$G$32,'17 Program Economics'!$C$7:$C$32,N$6)+N23</x:f>
        <x:v>9.879999999999999</x:v>
      </x:c>
      <x:c r="O39" s="194" t="n">
        <x:f>SUMIFS('17 Program Economics'!$G$7:$G$32,'17 Program Economics'!$C$7:$C$32,O$6)+O23</x:f>
        <x:v>12</x:v>
      </x:c>
      <x:c r="P39" s="195" t="n">
        <x:f>SUM(D39:O39)</x:f>
        <x:v>147.98</x:v>
      </x:c>
      <x:c r="Q39" s="164"/>
      <x:c r="R39" s="164"/>
    </x:row>
    <x:row r="40" ht="22" customHeight="1">
      <x:c r="B40" s="183" t="str">
        <x:v>Part 1 total revenue</x:v>
      </x:c>
      <x:c r="C40" s="183"/>
      <x:c r="D40" s="185" t="n">
        <x:f>SUM(D19,D36)</x:f>
        <x:v>39800</x:v>
      </x:c>
      <x:c r="E40" s="185" t="n">
        <x:f>SUM(E19,E36)</x:f>
        <x:v>40200</x:v>
      </x:c>
      <x:c r="F40" s="185" t="n">
        <x:f>SUM(F19,F36)</x:f>
        <x:v>34500</x:v>
      </x:c>
      <x:c r="G40" s="185" t="n">
        <x:f>SUM(G19,G36)</x:f>
        <x:v>32500</x:v>
      </x:c>
      <x:c r="H40" s="185" t="n">
        <x:f>SUM(H19,H36)</x:f>
        <x:v>32800</x:v>
      </x:c>
      <x:c r="I40" s="185" t="n">
        <x:f>SUM(I19,I36)</x:f>
        <x:v>20000</x:v>
      </x:c>
      <x:c r="J40" s="185" t="n">
        <x:f>SUM(J19,J36)</x:f>
        <x:v>11250</x:v>
      </x:c>
      <x:c r="K40" s="185" t="n">
        <x:f>SUM(K19,K36)</x:f>
        <x:v>28500</x:v>
      </x:c>
      <x:c r="L40" s="185" t="n">
        <x:f>SUM(L19,L36)</x:f>
        <x:v>52700</x:v>
      </x:c>
      <x:c r="M40" s="185" t="n">
        <x:f>SUM(M19,M36)</x:f>
        <x:v>58500</x:v>
      </x:c>
      <x:c r="N40" s="185" t="n">
        <x:f>SUM(N19,N36)</x:f>
        <x:v>33800</x:v>
      </x:c>
      <x:c r="O40" s="185" t="n">
        <x:f>SUM(O19,O36)</x:f>
        <x:v>30000</x:v>
      </x:c>
      <x:c r="P40" s="185" t="n">
        <x:f>SUM(D40:O40)</x:f>
        <x:v>414550</x:v>
      </x:c>
      <x:c r="Q40" s="164"/>
      <x:c r="R40" s="164"/>
    </x:row>
    <x:row r="41" ht="22" customHeight="1">
      <x:c r="B41" s="183" t="str">
        <x:v>Part 1 total direct costs</x:v>
      </x:c>
      <x:c r="C41" s="183"/>
      <x:c r="D41" s="185" t="n">
        <x:f>SUM(D38,D28)</x:f>
        <x:v>-21280</x:v>
      </x:c>
      <x:c r="E41" s="185" t="n">
        <x:f>SUM(E38,E28)</x:f>
        <x:v>-20890.9375</x:v>
      </x:c>
      <x:c r="F41" s="185" t="n">
        <x:f>SUM(F38,F28)</x:f>
        <x:v>-18140.3125</x:v>
      </x:c>
      <x:c r="G41" s="185" t="n">
        <x:f>SUM(G38,G28)</x:f>
        <x:v>-17259.40625</x:v>
      </x:c>
      <x:c r="H41" s="185" t="n">
        <x:f>SUM(H38,H28)</x:f>
        <x:v>-16725.3125</x:v>
      </x:c>
      <x:c r="I41" s="185" t="n">
        <x:f>SUM(I38,I28)</x:f>
        <x:v>-9925.9375</x:v>
      </x:c>
      <x:c r="J41" s="185" t="n">
        <x:f>SUM(J38,J28)</x:f>
        <x:v>-6192.34375</x:v>
      </x:c>
      <x:c r="K41" s="185" t="n">
        <x:f>SUM(K38,K28)</x:f>
        <x:v>-17235.3125</x:v>
      </x:c>
      <x:c r="L41" s="185" t="n">
        <x:f>SUM(L38,L28)</x:f>
        <x:v>-29280.9375</x:v>
      </x:c>
      <x:c r="M41" s="185" t="n">
        <x:f>SUM(M38,M28)</x:f>
        <x:v>-31859.11875</x:v>
      </x:c>
      <x:c r="N41" s="185" t="n">
        <x:f>SUM(N38,N28)</x:f>
        <x:v>-17602.725</x:v>
      </x:c>
      <x:c r="O41" s="185" t="n">
        <x:f>SUM(O38,O28)</x:f>
        <x:v>-16885.3125</x:v>
      </x:c>
      <x:c r="P41" s="185" t="n">
        <x:f>SUM(D41:O41)</x:f>
        <x:v>-223277.65625</x:v>
      </x:c>
      <x:c r="Q41" s="164"/>
      <x:c r="R41" s="164"/>
    </x:row>
    <x:row r="42" ht="22" customHeight="1">
      <x:c r="B42" s="164" t="str">
        <x:v>Sales fixed salaries</x:v>
      </x:c>
      <x:c r="C42" s="164"/>
      <x:c r="D42" s="175" t="n">
        <x:f>-'14 Drivers'!D7*'14 Drivers'!$D$36</x:f>
        <x:v>-7200</x:v>
      </x:c>
      <x:c r="E42" s="175" t="n">
        <x:f>-'14 Drivers'!E7*'14 Drivers'!$D$36</x:f>
        <x:v>-7200</x:v>
      </x:c>
      <x:c r="F42" s="175" t="n">
        <x:f>-'14 Drivers'!F7*'14 Drivers'!$D$36</x:f>
        <x:v>-5400</x:v>
      </x:c>
      <x:c r="G42" s="175" t="n">
        <x:f>-'14 Drivers'!G7*'14 Drivers'!$D$36</x:f>
        <x:v>-5400</x:v>
      </x:c>
      <x:c r="H42" s="175" t="n">
        <x:f>-'14 Drivers'!H7*'14 Drivers'!$D$36</x:f>
        <x:v>-7200</x:v>
      </x:c>
      <x:c r="I42" s="175" t="n">
        <x:f>-'14 Drivers'!I7*'14 Drivers'!$D$36</x:f>
        <x:v>-7200</x:v>
      </x:c>
      <x:c r="J42" s="175" t="n">
        <x:f>-'14 Drivers'!J7*'14 Drivers'!$D$36</x:f>
        <x:v>-7200</x:v>
      </x:c>
      <x:c r="K42" s="175" t="n">
        <x:f>-'14 Drivers'!K7*'14 Drivers'!$D$36</x:f>
        <x:v>-7200</x:v>
      </x:c>
      <x:c r="L42" s="175" t="n">
        <x:f>-'14 Drivers'!L7*'14 Drivers'!$D$36</x:f>
        <x:v>-7200</x:v>
      </x:c>
      <x:c r="M42" s="175" t="n">
        <x:f>-'14 Drivers'!M7*'14 Drivers'!$D$36</x:f>
        <x:v>-7200</x:v>
      </x:c>
      <x:c r="N42" s="175" t="n">
        <x:f>-'14 Drivers'!N7*'14 Drivers'!$D$36</x:f>
        <x:v>-7200</x:v>
      </x:c>
      <x:c r="O42" s="175" t="n">
        <x:f>-'14 Drivers'!O7*'14 Drivers'!$D$36</x:f>
        <x:v>-7200</x:v>
      </x:c>
      <x:c r="P42" s="174" t="n">
        <x:f>SUM(D42:O42)</x:f>
        <x:v>-82800</x:v>
      </x:c>
      <x:c r="Q42" s="164"/>
      <x:c r="R42" s="164"/>
    </x:row>
    <x:row r="43" ht="22" customHeight="1">
      <x:c r="B43" s="164" t="str">
        <x:v>Delivery and administration fixed salaries</x:v>
      </x:c>
      <x:c r="C43" s="164"/>
      <x:c r="D43" s="175" t="n">
        <x:f>-SUM('07 Draft Operating Costs'!D8:D9)</x:f>
        <x:v>-4500</x:v>
      </x:c>
      <x:c r="E43" s="175" t="n">
        <x:f>-SUM('07 Draft Operating Costs'!E8:E9)</x:f>
        <x:v>-4500</x:v>
      </x:c>
      <x:c r="F43" s="175" t="n">
        <x:f>-SUM('07 Draft Operating Costs'!F8:F9)</x:f>
        <x:v>-4500</x:v>
      </x:c>
      <x:c r="G43" s="175" t="n">
        <x:f>-SUM('07 Draft Operating Costs'!G8:G9)</x:f>
        <x:v>-4500</x:v>
      </x:c>
      <x:c r="H43" s="175" t="n">
        <x:f>-SUM('07 Draft Operating Costs'!H8:H9)</x:f>
        <x:v>-4500</x:v>
      </x:c>
      <x:c r="I43" s="175" t="n">
        <x:f>-SUM('07 Draft Operating Costs'!I8:I9)</x:f>
        <x:v>-4500</x:v>
      </x:c>
      <x:c r="J43" s="175" t="n">
        <x:f>-SUM('07 Draft Operating Costs'!J8:J9)</x:f>
        <x:v>-4500</x:v>
      </x:c>
      <x:c r="K43" s="175" t="n">
        <x:f>-SUM('07 Draft Operating Costs'!K8:K9)</x:f>
        <x:v>-4500</x:v>
      </x:c>
      <x:c r="L43" s="175" t="n">
        <x:f>-SUM('07 Draft Operating Costs'!L8:L9)</x:f>
        <x:v>-4500</x:v>
      </x:c>
      <x:c r="M43" s="175" t="n">
        <x:f>-SUM('07 Draft Operating Costs'!M8:M9)</x:f>
        <x:v>-4500</x:v>
      </x:c>
      <x:c r="N43" s="175" t="n">
        <x:f>-SUM('07 Draft Operating Costs'!N8:N9)</x:f>
        <x:v>-4500</x:v>
      </x:c>
      <x:c r="O43" s="175" t="n">
        <x:f>-SUM('07 Draft Operating Costs'!O8:O9)</x:f>
        <x:v>-4500</x:v>
      </x:c>
      <x:c r="P43" s="174" t="n">
        <x:f>SUM(D43:O43)</x:f>
        <x:v>-54000</x:v>
      </x:c>
      <x:c r="Q43" s="164"/>
      <x:c r="R43" s="164"/>
    </x:row>
    <x:row r="44" ht="22" customHeight="1">
      <x:c r="B44" s="164" t="str">
        <x:v>Employer cost on fixed salaries</x:v>
      </x:c>
      <x:c r="C44" s="164"/>
      <x:c r="D44" s="175" t="n">
        <x:f>SUM(D42:D43)*'14 Drivers'!$D$35</x:f>
        <x:v>-2925</x:v>
      </x:c>
      <x:c r="E44" s="175" t="n">
        <x:f>SUM(E42:E43)*'14 Drivers'!$D$35</x:f>
        <x:v>-2925</x:v>
      </x:c>
      <x:c r="F44" s="175" t="n">
        <x:f>SUM(F42:F43)*'14 Drivers'!$D$35</x:f>
        <x:v>-2475</x:v>
      </x:c>
      <x:c r="G44" s="175" t="n">
        <x:f>SUM(G42:G43)*'14 Drivers'!$D$35</x:f>
        <x:v>-2475</x:v>
      </x:c>
      <x:c r="H44" s="175" t="n">
        <x:f>SUM(H42:H43)*'14 Drivers'!$D$35</x:f>
        <x:v>-2925</x:v>
      </x:c>
      <x:c r="I44" s="175" t="n">
        <x:f>SUM(I42:I43)*'14 Drivers'!$D$35</x:f>
        <x:v>-2925</x:v>
      </x:c>
      <x:c r="J44" s="175" t="n">
        <x:f>SUM(J42:J43)*'14 Drivers'!$D$35</x:f>
        <x:v>-2925</x:v>
      </x:c>
      <x:c r="K44" s="175" t="n">
        <x:f>SUM(K42:K43)*'14 Drivers'!$D$35</x:f>
        <x:v>-2925</x:v>
      </x:c>
      <x:c r="L44" s="175" t="n">
        <x:f>SUM(L42:L43)*'14 Drivers'!$D$35</x:f>
        <x:v>-2925</x:v>
      </x:c>
      <x:c r="M44" s="175" t="n">
        <x:f>SUM(M42:M43)*'14 Drivers'!$D$35</x:f>
        <x:v>-2925</x:v>
      </x:c>
      <x:c r="N44" s="175" t="n">
        <x:f>SUM(N42:N43)*'14 Drivers'!$D$35</x:f>
        <x:v>-2925</x:v>
      </x:c>
      <x:c r="O44" s="175" t="n">
        <x:f>SUM(O42:O43)*'14 Drivers'!$D$35</x:f>
        <x:v>-2925</x:v>
      </x:c>
      <x:c r="P44" s="174" t="n">
        <x:f>SUM(D44:O44)</x:f>
        <x:v>-34200</x:v>
      </x:c>
      <x:c r="Q44" s="164"/>
      <x:c r="R44" s="164"/>
    </x:row>
    <x:row r="45" ht="22" customHeight="1">
      <x:c r="B45" s="183" t="str">
        <x:v>Loaded fixed payroll</x:v>
      </x:c>
      <x:c r="C45" s="183"/>
      <x:c r="D45" s="185" t="n">
        <x:f>SUM(D42:D44)</x:f>
        <x:v>-14625</x:v>
      </x:c>
      <x:c r="E45" s="185" t="n">
        <x:f>SUM(E42:E44)</x:f>
        <x:v>-14625</x:v>
      </x:c>
      <x:c r="F45" s="185" t="n">
        <x:f>SUM(F42:F44)</x:f>
        <x:v>-12375</x:v>
      </x:c>
      <x:c r="G45" s="185" t="n">
        <x:f>SUM(G42:G44)</x:f>
        <x:v>-12375</x:v>
      </x:c>
      <x:c r="H45" s="185" t="n">
        <x:f>SUM(H42:H44)</x:f>
        <x:v>-14625</x:v>
      </x:c>
      <x:c r="I45" s="185" t="n">
        <x:f>SUM(I42:I44)</x:f>
        <x:v>-14625</x:v>
      </x:c>
      <x:c r="J45" s="185" t="n">
        <x:f>SUM(J42:J44)</x:f>
        <x:v>-14625</x:v>
      </x:c>
      <x:c r="K45" s="185" t="n">
        <x:f>SUM(K42:K44)</x:f>
        <x:v>-14625</x:v>
      </x:c>
      <x:c r="L45" s="185" t="n">
        <x:f>SUM(L42:L44)</x:f>
        <x:v>-14625</x:v>
      </x:c>
      <x:c r="M45" s="185" t="n">
        <x:f>SUM(M42:M44)</x:f>
        <x:v>-14625</x:v>
      </x:c>
      <x:c r="N45" s="185" t="n">
        <x:f>SUM(N42:N44)</x:f>
        <x:v>-14625</x:v>
      </x:c>
      <x:c r="O45" s="185" t="n">
        <x:f>SUM(O42:O44)</x:f>
        <x:v>-14625</x:v>
      </x:c>
      <x:c r="P45" s="185" t="n">
        <x:f>SUM(D45:O45)</x:f>
        <x:v>-171000</x:v>
      </x:c>
      <x:c r="Q45" s="164"/>
      <x:c r="R45" s="164"/>
    </x:row>
    <x:row r="46" ht="22" customHeight="1">
      <x:c r="B46" s="164" t="str">
        <x:v>Existing marketing expense</x:v>
      </x:c>
      <x:c r="C46" s="164"/>
      <x:c r="D46" s="175" t="n">
        <x:f>-'14 Drivers'!D17</x:f>
        <x:v>-5500</x:v>
      </x:c>
      <x:c r="E46" s="175" t="n">
        <x:f>-'14 Drivers'!E17</x:f>
        <x:v>-5000</x:v>
      </x:c>
      <x:c r="F46" s="175" t="n">
        <x:f>-'14 Drivers'!F17</x:f>
        <x:v>-5000</x:v>
      </x:c>
      <x:c r="G46" s="175" t="n">
        <x:f>-'14 Drivers'!G17</x:f>
        <x:v>-4500</x:v>
      </x:c>
      <x:c r="H46" s="175" t="n">
        <x:f>-'14 Drivers'!H17</x:f>
        <x:v>-4000</x:v>
      </x:c>
      <x:c r="I46" s="175" t="n">
        <x:f>-'14 Drivers'!I17</x:f>
        <x:v>-3500</x:v>
      </x:c>
      <x:c r="J46" s="175" t="n">
        <x:f>-'14 Drivers'!J17</x:f>
        <x:v>-2000</x:v>
      </x:c>
      <x:c r="K46" s="175" t="n">
        <x:f>-'14 Drivers'!K17</x:f>
        <x:v>-3000</x:v>
      </x:c>
      <x:c r="L46" s="175" t="n">
        <x:f>-'14 Drivers'!L17</x:f>
        <x:v>-5500</x:v>
      </x:c>
      <x:c r="M46" s="175" t="n">
        <x:f>-'14 Drivers'!M17</x:f>
        <x:v>-6000</x:v>
      </x:c>
      <x:c r="N46" s="175" t="n">
        <x:f>-'14 Drivers'!N17</x:f>
        <x:v>-5000</x:v>
      </x:c>
      <x:c r="O46" s="175" t="n">
        <x:f>-'14 Drivers'!O17</x:f>
        <x:v>-3500</x:v>
      </x:c>
      <x:c r="P46" s="174" t="n">
        <x:f>SUM(D46:O46)</x:f>
        <x:v>-52500</x:v>
      </x:c>
      <x:c r="Q46" s="164"/>
      <x:c r="R46" s="164"/>
    </x:row>
    <x:row r="47" ht="22" customHeight="1">
      <x:c r="B47" s="164" t="str">
        <x:v>Other unchanged base overheads</x:v>
      </x:c>
      <x:c r="C47" s="164"/>
      <x:c r="D47" s="175" t="n">
        <x:f>-SUM('07 Draft Operating Costs'!D12:D14,'07 Draft Operating Costs'!D16:D19)</x:f>
        <x:v>-4600</x:v>
      </x:c>
      <x:c r="E47" s="175" t="n">
        <x:f>-SUM('07 Draft Operating Costs'!E12:E14,'07 Draft Operating Costs'!E16:E19)</x:f>
        <x:v>-4600</x:v>
      </x:c>
      <x:c r="F47" s="175" t="n">
        <x:f>-SUM('07 Draft Operating Costs'!F12:F14,'07 Draft Operating Costs'!F16:F19)</x:f>
        <x:v>-4600</x:v>
      </x:c>
      <x:c r="G47" s="175" t="n">
        <x:f>-SUM('07 Draft Operating Costs'!G12:G14,'07 Draft Operating Costs'!G16:G19)</x:f>
        <x:v>-4600</x:v>
      </x:c>
      <x:c r="H47" s="175" t="n">
        <x:f>-SUM('07 Draft Operating Costs'!H12:H14,'07 Draft Operating Costs'!H16:H19)</x:f>
        <x:v>-4600</x:v>
      </x:c>
      <x:c r="I47" s="175" t="n">
        <x:f>-SUM('07 Draft Operating Costs'!I12:I14,'07 Draft Operating Costs'!I16:I19)</x:f>
        <x:v>-4600</x:v>
      </x:c>
      <x:c r="J47" s="175" t="n">
        <x:f>-SUM('07 Draft Operating Costs'!J12:J14,'07 Draft Operating Costs'!J16:J19)</x:f>
        <x:v>-4600</x:v>
      </x:c>
      <x:c r="K47" s="175" t="n">
        <x:f>-SUM('07 Draft Operating Costs'!K12:K14,'07 Draft Operating Costs'!K16:K19)</x:f>
        <x:v>-4600</x:v>
      </x:c>
      <x:c r="L47" s="175" t="n">
        <x:f>-SUM('07 Draft Operating Costs'!L12:L14,'07 Draft Operating Costs'!L16:L19)</x:f>
        <x:v>-4600</x:v>
      </x:c>
      <x:c r="M47" s="175" t="n">
        <x:f>-SUM('07 Draft Operating Costs'!M12:M14,'07 Draft Operating Costs'!M16:M19)</x:f>
        <x:v>-4600</x:v>
      </x:c>
      <x:c r="N47" s="175" t="n">
        <x:f>-SUM('07 Draft Operating Costs'!N12:N14,'07 Draft Operating Costs'!N16:N19)</x:f>
        <x:v>-4600</x:v>
      </x:c>
      <x:c r="O47" s="175" t="n">
        <x:f>-SUM('07 Draft Operating Costs'!O12:O14,'07 Draft Operating Costs'!O16:O19)</x:f>
        <x:v>-4600</x:v>
      </x:c>
      <x:c r="P47" s="174" t="n">
        <x:f>SUM(D47:O47)</x:f>
        <x:v>-55200</x:v>
      </x:c>
      <x:c r="Q47" s="164"/>
      <x:c r="R47" s="164"/>
    </x:row>
    <x:row r="48" ht="22" customHeight="1">
      <x:c r="B48" s="164" t="str">
        <x:v>Accrued insurance</x:v>
      </x:c>
      <x:c r="C48" s="164"/>
      <x:c r="D48" s="175" t="n">
        <x:f>-'14 Drivers'!$D$40/12</x:f>
        <x:v>-150</x:v>
      </x:c>
      <x:c r="E48" s="175" t="n">
        <x:f>-'14 Drivers'!$D$40/12</x:f>
        <x:v>-150</x:v>
      </x:c>
      <x:c r="F48" s="175" t="n">
        <x:f>-'14 Drivers'!$D$40/12</x:f>
        <x:v>-150</x:v>
      </x:c>
      <x:c r="G48" s="175" t="n">
        <x:f>-'14 Drivers'!$D$40/12</x:f>
        <x:v>-150</x:v>
      </x:c>
      <x:c r="H48" s="175" t="n">
        <x:f>-'14 Drivers'!$D$40/12</x:f>
        <x:v>-150</x:v>
      </x:c>
      <x:c r="I48" s="175" t="n">
        <x:f>-'14 Drivers'!$D$40/12</x:f>
        <x:v>-150</x:v>
      </x:c>
      <x:c r="J48" s="175" t="n">
        <x:f>-'14 Drivers'!$D$40/12</x:f>
        <x:v>-150</x:v>
      </x:c>
      <x:c r="K48" s="175" t="n">
        <x:f>-'14 Drivers'!$D$40/12</x:f>
        <x:v>-150</x:v>
      </x:c>
      <x:c r="L48" s="175" t="n">
        <x:f>-'14 Drivers'!$D$40/12</x:f>
        <x:v>-150</x:v>
      </x:c>
      <x:c r="M48" s="175" t="n">
        <x:f>-'14 Drivers'!$D$40/12</x:f>
        <x:v>-150</x:v>
      </x:c>
      <x:c r="N48" s="175" t="n">
        <x:f>-'14 Drivers'!$D$40/12</x:f>
        <x:v>-150</x:v>
      </x:c>
      <x:c r="O48" s="175" t="n">
        <x:f>-'14 Drivers'!$D$40/12</x:f>
        <x:v>-150</x:v>
      </x:c>
      <x:c r="P48" s="174" t="n">
        <x:f>SUM(D48:O48)</x:f>
        <x:v>-1800</x:v>
      </x:c>
      <x:c r="Q48" s="164"/>
      <x:c r="R48" s="164"/>
    </x:row>
    <x:row r="49" ht="22" customHeight="1">
      <x:c r="B49" s="164" t="str">
        <x:v>Additional studio depreciation</x:v>
      </x:c>
      <x:c r="C49" s="164"/>
      <x:c r="D49" s="175" t="n">
        <x:f>-IF(MONTH(D$5)&gt;='14 Drivers'!$D$39,'14 Drivers'!$D$37/'14 Drivers'!$D$38,0)</x:f>
        <x:v>0</x:v>
      </x:c>
      <x:c r="E49" s="175" t="n">
        <x:f>-IF(MONTH(E$5)&gt;='14 Drivers'!$D$39,'14 Drivers'!$D$37/'14 Drivers'!$D$38,0)</x:f>
        <x:v>0</x:v>
      </x:c>
      <x:c r="F49" s="175" t="n">
        <x:f>-IF(MONTH(F$5)&gt;='14 Drivers'!$D$39,'14 Drivers'!$D$37/'14 Drivers'!$D$38,0)</x:f>
        <x:v>0</x:v>
      </x:c>
      <x:c r="G49" s="175" t="n">
        <x:f>-IF(MONTH(G$5)&gt;='14 Drivers'!$D$39,'14 Drivers'!$D$37/'14 Drivers'!$D$38,0)</x:f>
        <x:v>0</x:v>
      </x:c>
      <x:c r="H49" s="175" t="n">
        <x:f>-IF(MONTH(H$5)&gt;='14 Drivers'!$D$39,'14 Drivers'!$D$37/'14 Drivers'!$D$38,0)</x:f>
        <x:v>-416.6666666666667</x:v>
      </x:c>
      <x:c r="I49" s="175" t="n">
        <x:f>-IF(MONTH(I$5)&gt;='14 Drivers'!$D$39,'14 Drivers'!$D$37/'14 Drivers'!$D$38,0)</x:f>
        <x:v>-416.6666666666667</x:v>
      </x:c>
      <x:c r="J49" s="175" t="n">
        <x:f>-IF(MONTH(J$5)&gt;='14 Drivers'!$D$39,'14 Drivers'!$D$37/'14 Drivers'!$D$38,0)</x:f>
        <x:v>-416.6666666666667</x:v>
      </x:c>
      <x:c r="K49" s="175" t="n">
        <x:f>-IF(MONTH(K$5)&gt;='14 Drivers'!$D$39,'14 Drivers'!$D$37/'14 Drivers'!$D$38,0)</x:f>
        <x:v>-416.6666666666667</x:v>
      </x:c>
      <x:c r="L49" s="175" t="n">
        <x:f>-IF(MONTH(L$5)&gt;='14 Drivers'!$D$39,'14 Drivers'!$D$37/'14 Drivers'!$D$38,0)</x:f>
        <x:v>-416.6666666666667</x:v>
      </x:c>
      <x:c r="M49" s="175" t="n">
        <x:f>-IF(MONTH(M$5)&gt;='14 Drivers'!$D$39,'14 Drivers'!$D$37/'14 Drivers'!$D$38,0)</x:f>
        <x:v>-416.6666666666667</x:v>
      </x:c>
      <x:c r="N49" s="175" t="n">
        <x:f>-IF(MONTH(N$5)&gt;='14 Drivers'!$D$39,'14 Drivers'!$D$37/'14 Drivers'!$D$38,0)</x:f>
        <x:v>-416.6666666666667</x:v>
      </x:c>
      <x:c r="O49" s="175" t="n">
        <x:f>-IF(MONTH(O$5)&gt;='14 Drivers'!$D$39,'14 Drivers'!$D$37/'14 Drivers'!$D$38,0)</x:f>
        <x:v>-416.6666666666667</x:v>
      </x:c>
      <x:c r="P49" s="174" t="n">
        <x:f>SUM(D49:O49)</x:f>
        <x:v>-3333.333333333333</x:v>
      </x:c>
      <x:c r="Q49" s="164"/>
      <x:c r="R49" s="188" t="str">
        <x:v>07 Finance P6. EUR 25,000/60 months from May. No capex charge in P&amp;L.</x:v>
      </x:c>
    </x:row>
    <x:row r="50" ht="22" customHeight="1">
      <x:c r="B50" s="183" t="str">
        <x:v>Part 1 operating expenses</x:v>
      </x:c>
      <x:c r="C50" s="183"/>
      <x:c r="D50" s="185" t="n">
        <x:f>SUM(D45:D49)</x:f>
        <x:v>-24875</x:v>
      </x:c>
      <x:c r="E50" s="185" t="n">
        <x:f>SUM(E45:E49)</x:f>
        <x:v>-24375</x:v>
      </x:c>
      <x:c r="F50" s="185" t="n">
        <x:f>SUM(F45:F49)</x:f>
        <x:v>-22125</x:v>
      </x:c>
      <x:c r="G50" s="185" t="n">
        <x:f>SUM(G45:G49)</x:f>
        <x:v>-21625</x:v>
      </x:c>
      <x:c r="H50" s="185" t="n">
        <x:f>SUM(H45:H49)</x:f>
        <x:v>-23791.666666666668</x:v>
      </x:c>
      <x:c r="I50" s="185" t="n">
        <x:f>SUM(I45:I49)</x:f>
        <x:v>-23291.666666666668</x:v>
      </x:c>
      <x:c r="J50" s="185" t="n">
        <x:f>SUM(J45:J49)</x:f>
        <x:v>-21791.666666666668</x:v>
      </x:c>
      <x:c r="K50" s="185" t="n">
        <x:f>SUM(K45:K49)</x:f>
        <x:v>-22791.666666666668</x:v>
      </x:c>
      <x:c r="L50" s="185" t="n">
        <x:f>SUM(L45:L49)</x:f>
        <x:v>-25291.666666666668</x:v>
      </x:c>
      <x:c r="M50" s="185" t="n">
        <x:f>SUM(M45:M49)</x:f>
        <x:v>-25791.666666666668</x:v>
      </x:c>
      <x:c r="N50" s="185" t="n">
        <x:f>SUM(N45:N49)</x:f>
        <x:v>-24791.666666666668</x:v>
      </x:c>
      <x:c r="O50" s="185" t="n">
        <x:f>SUM(O45:O49)</x:f>
        <x:v>-23291.666666666668</x:v>
      </x:c>
      <x:c r="P50" s="185" t="n">
        <x:f>SUM(D50:O50)</x:f>
        <x:v>-283833.3333333333</x:v>
      </x:c>
      <x:c r="Q50" s="164"/>
      <x:c r="R50" s="164"/>
    </x:row>
    <x:row r="51" ht="22" customHeight="1">
      <x:c r="B51" s="183" t="str">
        <x:v>Part 1 contribution</x:v>
      </x:c>
      <x:c r="C51" s="183"/>
      <x:c r="D51" s="185" t="n">
        <x:f>SUM(D40:D41)</x:f>
        <x:v>18520</x:v>
      </x:c>
      <x:c r="E51" s="185" t="n">
        <x:f>SUM(E40:E41)</x:f>
        <x:v>19309.0625</x:v>
      </x:c>
      <x:c r="F51" s="185" t="n">
        <x:f>SUM(F40:F41)</x:f>
        <x:v>16359.6875</x:v>
      </x:c>
      <x:c r="G51" s="185" t="n">
        <x:f>SUM(G40:G41)</x:f>
        <x:v>15240.59375</x:v>
      </x:c>
      <x:c r="H51" s="185" t="n">
        <x:f>SUM(H40:H41)</x:f>
        <x:v>16074.6875</x:v>
      </x:c>
      <x:c r="I51" s="185" t="n">
        <x:f>SUM(I40:I41)</x:f>
        <x:v>10074.0625</x:v>
      </x:c>
      <x:c r="J51" s="185" t="n">
        <x:f>SUM(J40:J41)</x:f>
        <x:v>5057.65625</x:v>
      </x:c>
      <x:c r="K51" s="185" t="n">
        <x:f>SUM(K40:K41)</x:f>
        <x:v>11264.6875</x:v>
      </x:c>
      <x:c r="L51" s="185" t="n">
        <x:f>SUM(L40:L41)</x:f>
        <x:v>23419.0625</x:v>
      </x:c>
      <x:c r="M51" s="185" t="n">
        <x:f>SUM(M40:M41)</x:f>
        <x:v>26640.88125</x:v>
      </x:c>
      <x:c r="N51" s="185" t="n">
        <x:f>SUM(N40:N41)</x:f>
        <x:v>16197.275000000001</x:v>
      </x:c>
      <x:c r="O51" s="185" t="n">
        <x:f>SUM(O40:O41)</x:f>
        <x:v>13114.6875</x:v>
      </x:c>
      <x:c r="P51" s="185" t="n">
        <x:f>SUM(D51:O51)</x:f>
        <x:v>191272.34375</x:v>
      </x:c>
      <x:c r="Q51" s="164"/>
      <x:c r="R51" s="164"/>
    </x:row>
    <x:row r="52" ht="22" customHeight="1">
      <x:c r="B52" s="183" t="str">
        <x:v>Part 1 operating profit</x:v>
      </x:c>
      <x:c r="C52" s="183"/>
      <x:c r="D52" s="185" t="n">
        <x:f>SUM(D51,D50)</x:f>
        <x:v>-6355</x:v>
      </x:c>
      <x:c r="E52" s="185" t="n">
        <x:f>SUM(E51,E50)</x:f>
        <x:v>-5065.9375</x:v>
      </x:c>
      <x:c r="F52" s="185" t="n">
        <x:f>SUM(F51,F50)</x:f>
        <x:v>-5765.3125</x:v>
      </x:c>
      <x:c r="G52" s="185" t="n">
        <x:f>SUM(G51,G50)</x:f>
        <x:v>-6384.40625</x:v>
      </x:c>
      <x:c r="H52" s="185" t="n">
        <x:f>SUM(H51,H50)</x:f>
        <x:v>-7716.979166666668</x:v>
      </x:c>
      <x:c r="I52" s="185" t="n">
        <x:f>SUM(I51,I50)</x:f>
        <x:v>-13217.604166666668</x:v>
      </x:c>
      <x:c r="J52" s="185" t="n">
        <x:f>SUM(J51,J50)</x:f>
        <x:v>-16734.010416666668</x:v>
      </x:c>
      <x:c r="K52" s="185" t="n">
        <x:f>SUM(K51,K50)</x:f>
        <x:v>-11526.979166666668</x:v>
      </x:c>
      <x:c r="L52" s="185" t="n">
        <x:f>SUM(L51,L50)</x:f>
        <x:v>-1872.6041666666679</x:v>
      </x:c>
      <x:c r="M52" s="185" t="n">
        <x:f>SUM(M51,M50)</x:f>
        <x:v>849.2145833333307</x:v>
      </x:c>
      <x:c r="N52" s="185" t="n">
        <x:f>SUM(N51,N50)</x:f>
        <x:v>-8594.391666666666</x:v>
      </x:c>
      <x:c r="O52" s="185" t="n">
        <x:f>SUM(O51,O50)</x:f>
        <x:v>-10176.979166666668</x:v>
      </x:c>
      <x:c r="P52" s="185" t="n">
        <x:f>SUM(D52:O52)</x:f>
        <x:v>-92560.98958333334</x:v>
      </x:c>
      <x:c r="Q52" s="164"/>
      <x:c r="R52" s="164"/>
    </x:row>
    <x:row r="53" ht="22" customHeight="1">
      <x:c r="B53" s="164" t="str">
        <x:v>Source-calendar assistant person-days</x:v>
      </x:c>
      <x:c r="C53" s="164"/>
      <x:c r="D53" s="194" t="n">
        <x:f>SUMIFS('17 Program Economics'!$U$7:$U$32,'17 Program Economics'!$C$7:$C$32,D$6)</x:f>
        <x:v>0</x:v>
      </x:c>
      <x:c r="E53" s="194" t="n">
        <x:f>SUMIFS('17 Program Economics'!$U$7:$U$32,'17 Program Economics'!$C$7:$C$32,E$6)</x:f>
        <x:v>2</x:v>
      </x:c>
      <x:c r="F53" s="194" t="n">
        <x:f>SUMIFS('17 Program Economics'!$U$7:$U$32,'17 Program Economics'!$C$7:$C$32,F$6)</x:f>
        <x:v>0</x:v>
      </x:c>
      <x:c r="G53" s="194" t="n">
        <x:f>SUMIFS('17 Program Economics'!$U$7:$U$32,'17 Program Economics'!$C$7:$C$32,G$6)</x:f>
        <x:v>2</x:v>
      </x:c>
      <x:c r="H53" s="194" t="n">
        <x:f>SUMIFS('17 Program Economics'!$U$7:$U$32,'17 Program Economics'!$C$7:$C$32,H$6)</x:f>
        <x:v>0</x:v>
      </x:c>
      <x:c r="I53" s="194" t="n">
        <x:f>SUMIFS('17 Program Economics'!$U$7:$U$32,'17 Program Economics'!$C$7:$C$32,I$6)</x:f>
        <x:v>4</x:v>
      </x:c>
      <x:c r="J53" s="194" t="n">
        <x:f>SUMIFS('17 Program Economics'!$U$7:$U$32,'17 Program Economics'!$C$7:$C$32,J$6)</x:f>
        <x:v>0</x:v>
      </x:c>
      <x:c r="K53" s="194" t="n">
        <x:f>SUMIFS('17 Program Economics'!$U$7:$U$32,'17 Program Economics'!$C$7:$C$32,K$6)</x:f>
        <x:v>0</x:v>
      </x:c>
      <x:c r="L53" s="194" t="n">
        <x:f>SUMIFS('17 Program Economics'!$U$7:$U$32,'17 Program Economics'!$C$7:$C$32,L$6)</x:f>
        <x:v>6</x:v>
      </x:c>
      <x:c r="M53" s="194" t="n">
        <x:f>SUMIFS('17 Program Economics'!$U$7:$U$32,'17 Program Economics'!$C$7:$C$32,M$6)</x:f>
        <x:v>1</x:v>
      </x:c>
      <x:c r="N53" s="194" t="n">
        <x:f>SUMIFS('17 Program Economics'!$U$7:$U$32,'17 Program Economics'!$C$7:$C$32,N$6)</x:f>
        <x:v>4</x:v>
      </x:c>
      <x:c r="O53" s="194" t="n">
        <x:f>SUMIFS('17 Program Economics'!$U$7:$U$32,'17 Program Economics'!$C$7:$C$32,O$6)</x:f>
        <x:v>0</x:v>
      </x:c>
      <x:c r="P53" s="195" t="n">
        <x:f>SUM(D53:O53)</x:f>
        <x:v>19</x:v>
      </x:c>
      <x:c r="Q53" s="164"/>
      <x:c r="R53" s="164"/>
    </x:row>
    <x:row r="54" ht="22" customHeight="1">
      <x:c r="B54" s="164" t="str">
        <x:v>Regular assistant monthly capacity</x:v>
      </x:c>
      <x:c r="C54" s="164"/>
      <x:c r="D54" s="194" t="n">
        <x:f>'14 Drivers'!$D$52</x:f>
        <x:v>4</x:v>
      </x:c>
      <x:c r="E54" s="194" t="n">
        <x:f>'14 Drivers'!$D$52</x:f>
        <x:v>4</x:v>
      </x:c>
      <x:c r="F54" s="194" t="n">
        <x:f>'14 Drivers'!$D$52</x:f>
        <x:v>4</x:v>
      </x:c>
      <x:c r="G54" s="194" t="n">
        <x:f>'14 Drivers'!$D$52</x:f>
        <x:v>4</x:v>
      </x:c>
      <x:c r="H54" s="194" t="n">
        <x:f>'14 Drivers'!$D$52</x:f>
        <x:v>4</x:v>
      </x:c>
      <x:c r="I54" s="194" t="n">
        <x:f>'14 Drivers'!$D$52</x:f>
        <x:v>4</x:v>
      </x:c>
      <x:c r="J54" s="194" t="n">
        <x:f>'14 Drivers'!$D$52</x:f>
        <x:v>4</x:v>
      </x:c>
      <x:c r="K54" s="194" t="n">
        <x:f>'14 Drivers'!$D$52</x:f>
        <x:v>4</x:v>
      </x:c>
      <x:c r="L54" s="194" t="n">
        <x:f>'14 Drivers'!$D$52</x:f>
        <x:v>4</x:v>
      </x:c>
      <x:c r="M54" s="194" t="n">
        <x:f>'14 Drivers'!$D$52</x:f>
        <x:v>4</x:v>
      </x:c>
      <x:c r="N54" s="194" t="n">
        <x:f>'14 Drivers'!$D$52</x:f>
        <x:v>4</x:v>
      </x:c>
      <x:c r="O54" s="194" t="n">
        <x:f>'14 Drivers'!$D$52</x:f>
        <x:v>4</x:v>
      </x:c>
      <x:c r="P54" s="195" t="n">
        <x:f>SUM(D54:O54)</x:f>
        <x:v>48</x:v>
      </x:c>
      <x:c r="Q54" s="164"/>
      <x:c r="R54" s="164"/>
    </x:row>
    <x:row r="55" ht="22" customHeight="1">
      <x:c r="B55" s="164" t="str">
        <x:v>Regular assistant possible event-days</x:v>
      </x:c>
      <x:c r="C55" s="164"/>
      <x:c r="D55" s="194" t="n">
        <x:f>SUMIFS('17 Program Economics'!$V$7:$V$32,'17 Program Economics'!$C$7:$C$32,D$6)</x:f>
        <x:v>0</x:v>
      </x:c>
      <x:c r="E55" s="194" t="n">
        <x:f>SUMIFS('17 Program Economics'!$V$7:$V$32,'17 Program Economics'!$C$7:$C$32,E$6)</x:f>
        <x:v>2</x:v>
      </x:c>
      <x:c r="F55" s="194" t="n">
        <x:f>SUMIFS('17 Program Economics'!$V$7:$V$32,'17 Program Economics'!$C$7:$C$32,F$6)</x:f>
        <x:v>0</x:v>
      </x:c>
      <x:c r="G55" s="194" t="n">
        <x:f>SUMIFS('17 Program Economics'!$V$7:$V$32,'17 Program Economics'!$C$7:$C$32,G$6)</x:f>
        <x:v>1</x:v>
      </x:c>
      <x:c r="H55" s="194" t="n">
        <x:f>SUMIFS('17 Program Economics'!$V$7:$V$32,'17 Program Economics'!$C$7:$C$32,H$6)</x:f>
        <x:v>0</x:v>
      </x:c>
      <x:c r="I55" s="194" t="n">
        <x:f>SUMIFS('17 Program Economics'!$V$7:$V$32,'17 Program Economics'!$C$7:$C$32,I$6)</x:f>
        <x:v>2</x:v>
      </x:c>
      <x:c r="J55" s="194" t="n">
        <x:f>SUMIFS('17 Program Economics'!$V$7:$V$32,'17 Program Economics'!$C$7:$C$32,J$6)</x:f>
        <x:v>0</x:v>
      </x:c>
      <x:c r="K55" s="194" t="n">
        <x:f>SUMIFS('17 Program Economics'!$V$7:$V$32,'17 Program Economics'!$C$7:$C$32,K$6)</x:f>
        <x:v>0</x:v>
      </x:c>
      <x:c r="L55" s="194" t="n">
        <x:f>SUMIFS('17 Program Economics'!$V$7:$V$32,'17 Program Economics'!$C$7:$C$32,L$6)</x:f>
        <x:v>2</x:v>
      </x:c>
      <x:c r="M55" s="194" t="n">
        <x:f>SUMIFS('17 Program Economics'!$V$7:$V$32,'17 Program Economics'!$C$7:$C$32,M$6)</x:f>
        <x:v>1</x:v>
      </x:c>
      <x:c r="N55" s="194" t="n">
        <x:f>SUMIFS('17 Program Economics'!$V$7:$V$32,'17 Program Economics'!$C$7:$C$32,N$6)</x:f>
        <x:v>2</x:v>
      </x:c>
      <x:c r="O55" s="194" t="n">
        <x:f>SUMIFS('17 Program Economics'!$V$7:$V$32,'17 Program Economics'!$C$7:$C$32,O$6)</x:f>
        <x:v>0</x:v>
      </x:c>
      <x:c r="P55" s="195" t="n">
        <x:f>SUM(D55:O55)</x:f>
        <x:v>10</x:v>
      </x:c>
      <x:c r="Q55" s="164"/>
      <x:c r="R55" s="164"/>
    </x:row>
    <x:row r="56" ht="22" customHeight="1">
      <x:c r="B56" s="164" t="str">
        <x:v>Regular assistant assigned person-days</x:v>
      </x:c>
      <x:c r="C56" s="164"/>
      <x:c r="D56" s="195" t="n">
        <x:f>MIN(D54,D55)</x:f>
        <x:v>0</x:v>
      </x:c>
      <x:c r="E56" s="195" t="n">
        <x:f>MIN(E54,E55)</x:f>
        <x:v>2</x:v>
      </x:c>
      <x:c r="F56" s="195" t="n">
        <x:f>MIN(F54,F55)</x:f>
        <x:v>0</x:v>
      </x:c>
      <x:c r="G56" s="195" t="n">
        <x:f>MIN(G54,G55)</x:f>
        <x:v>1</x:v>
      </x:c>
      <x:c r="H56" s="195" t="n">
        <x:f>MIN(H54,H55)</x:f>
        <x:v>0</x:v>
      </x:c>
      <x:c r="I56" s="195" t="n">
        <x:f>MIN(I54,I55)</x:f>
        <x:v>2</x:v>
      </x:c>
      <x:c r="J56" s="195" t="n">
        <x:f>MIN(J54,J55)</x:f>
        <x:v>0</x:v>
      </x:c>
      <x:c r="K56" s="195" t="n">
        <x:f>MIN(K54,K55)</x:f>
        <x:v>0</x:v>
      </x:c>
      <x:c r="L56" s="195" t="n">
        <x:f>MIN(L54,L55)</x:f>
        <x:v>2</x:v>
      </x:c>
      <x:c r="M56" s="195" t="n">
        <x:f>MIN(M54,M55)</x:f>
        <x:v>1</x:v>
      </x:c>
      <x:c r="N56" s="195" t="n">
        <x:f>MIN(N54,N55)</x:f>
        <x:v>2</x:v>
      </x:c>
      <x:c r="O56" s="195" t="n">
        <x:f>MIN(O54,O55)</x:f>
        <x:v>0</x:v>
      </x:c>
      <x:c r="P56" s="195" t="n">
        <x:f>SUM(D56:O56)</x:f>
        <x:v>10</x:v>
      </x:c>
      <x:c r="Q56" s="164"/>
      <x:c r="R56" s="164"/>
    </x:row>
    <x:row r="57" ht="22" customHeight="1">
      <x:c r="B57" s="164" t="str">
        <x:v>Additional assistant person-days to book</x:v>
      </x:c>
      <x:c r="C57" s="164"/>
      <x:c r="D57" s="195" t="n">
        <x:f>D53-D56</x:f>
        <x:v>0</x:v>
      </x:c>
      <x:c r="E57" s="195" t="n">
        <x:f>E53-E56</x:f>
        <x:v>0</x:v>
      </x:c>
      <x:c r="F57" s="195" t="n">
        <x:f>F53-F56</x:f>
        <x:v>0</x:v>
      </x:c>
      <x:c r="G57" s="195" t="n">
        <x:f>G53-G56</x:f>
        <x:v>1</x:v>
      </x:c>
      <x:c r="H57" s="195" t="n">
        <x:f>H53-H56</x:f>
        <x:v>0</x:v>
      </x:c>
      <x:c r="I57" s="195" t="n">
        <x:f>I53-I56</x:f>
        <x:v>2</x:v>
      </x:c>
      <x:c r="J57" s="195" t="n">
        <x:f>J53-J56</x:f>
        <x:v>0</x:v>
      </x:c>
      <x:c r="K57" s="195" t="n">
        <x:f>K53-K56</x:f>
        <x:v>0</x:v>
      </x:c>
      <x:c r="L57" s="195" t="n">
        <x:f>L53-L56</x:f>
        <x:v>4</x:v>
      </x:c>
      <x:c r="M57" s="195" t="n">
        <x:f>M53-M56</x:f>
        <x:v>0</x:v>
      </x:c>
      <x:c r="N57" s="195" t="n">
        <x:f>N53-N56</x:f>
        <x:v>2</x:v>
      </x:c>
      <x:c r="O57" s="195" t="n">
        <x:f>O53-O56</x:f>
        <x:v>0</x:v>
      </x:c>
      <x:c r="P57" s="195" t="n">
        <x:f>SUM(D57:O57)</x:f>
        <x:v>9</x:v>
      </x:c>
      <x:c r="Q57" s="164"/>
      <x:c r="R57" s="188" t="str">
        <x:v>Apr 1, Jun 2, Sep 4 and Nov 2 additional person-days. Already priced at assistant fee.</x:v>
      </x:c>
    </x:row>
    <x:row r="58" ht="22" customHeight="1">
      <x:c r="B58" s="164" t="str">
        <x:v>Assistants at largest source event</x:v>
      </x:c>
      <x:c r="C58" s="164"/>
      <x:c r="D58" s="194" t="n">
        <x:f>MAX(IF('17 Program Economics'!C7=D$6,'17 Program Economics'!L7,0),IF('17 Program Economics'!C8=D$6,'17 Program Economics'!L8,0),IF('17 Program Economics'!C9=D$6,'17 Program Economics'!L9,0),IF('17 Program Economics'!C10=D$6,'17 Program Economics'!L10,0),IF('17 Program Economics'!C11=D$6,'17 Program Economics'!L11,0),IF('17 Program Economics'!C12=D$6,'17 Program Economics'!L12,0),IF('17 Program Economics'!C13=D$6,'17 Program Economics'!L13,0),IF('17 Program Economics'!C14=D$6,'17 Program Economics'!L14,0),IF('17 Program Economics'!C15=D$6,'17 Program Economics'!L15,0),IF('17 Program Economics'!C16=D$6,'17 Program Economics'!L16,0),IF('17 Program Economics'!C17=D$6,'17 Program Economics'!L17,0),IF('17 Program Economics'!C18=D$6,'17 Program Economics'!L18,0),IF('17 Program Economics'!C19=D$6,'17 Program Economics'!L19,0),IF('17 Program Economics'!C20=D$6,'17 Program Economics'!L20,0),IF('17 Program Economics'!C21=D$6,'17 Program Economics'!L21,0),IF('17 Program Economics'!C22=D$6,'17 Program Economics'!L22,0),IF('17 Program Economics'!C23=D$6,'17 Program Economics'!L23,0),IF('17 Program Economics'!C24=D$6,'17 Program Economics'!L24,0),IF('17 Program Economics'!C25=D$6,'17 Program Economics'!L25,0),IF('17 Program Economics'!C26=D$6,'17 Program Economics'!L26,0),IF('17 Program Economics'!C27=D$6,'17 Program Economics'!L27,0),IF('17 Program Economics'!C28=D$6,'17 Program Economics'!L28,0),IF('17 Program Economics'!C29=D$6,'17 Program Economics'!L29,0),IF('17 Program Economics'!C30=D$6,'17 Program Economics'!L30,0),IF('17 Program Economics'!C31=D$6,'17 Program Economics'!L31,0),IF('17 Program Economics'!C32=D$6,'17 Program Economics'!L32,0))</x:f>
        <x:v>0</x:v>
      </x:c>
      <x:c r="E58" s="194" t="n">
        <x:f>MAX(IF('17 Program Economics'!C7=E$6,'17 Program Economics'!L7,0),IF('17 Program Economics'!C8=E$6,'17 Program Economics'!L8,0),IF('17 Program Economics'!C9=E$6,'17 Program Economics'!L9,0),IF('17 Program Economics'!C10=E$6,'17 Program Economics'!L10,0),IF('17 Program Economics'!C11=E$6,'17 Program Economics'!L11,0),IF('17 Program Economics'!C12=E$6,'17 Program Economics'!L12,0),IF('17 Program Economics'!C13=E$6,'17 Program Economics'!L13,0),IF('17 Program Economics'!C14=E$6,'17 Program Economics'!L14,0),IF('17 Program Economics'!C15=E$6,'17 Program Economics'!L15,0),IF('17 Program Economics'!C16=E$6,'17 Program Economics'!L16,0),IF('17 Program Economics'!C17=E$6,'17 Program Economics'!L17,0),IF('17 Program Economics'!C18=E$6,'17 Program Economics'!L18,0),IF('17 Program Economics'!C19=E$6,'17 Program Economics'!L19,0),IF('17 Program Economics'!C20=E$6,'17 Program Economics'!L20,0),IF('17 Program Economics'!C21=E$6,'17 Program Economics'!L21,0),IF('17 Program Economics'!C22=E$6,'17 Program Economics'!L22,0),IF('17 Program Economics'!C23=E$6,'17 Program Economics'!L23,0),IF('17 Program Economics'!C24=E$6,'17 Program Economics'!L24,0),IF('17 Program Economics'!C25=E$6,'17 Program Economics'!L25,0),IF('17 Program Economics'!C26=E$6,'17 Program Economics'!L26,0),IF('17 Program Economics'!C27=E$6,'17 Program Economics'!L27,0),IF('17 Program Economics'!C28=E$6,'17 Program Economics'!L28,0),IF('17 Program Economics'!C29=E$6,'17 Program Economics'!L29,0),IF('17 Program Economics'!C30=E$6,'17 Program Economics'!L30,0),IF('17 Program Economics'!C31=E$6,'17 Program Economics'!L31,0),IF('17 Program Economics'!C32=E$6,'17 Program Economics'!L32,0))</x:f>
        <x:v>1</x:v>
      </x:c>
      <x:c r="F58" s="194" t="n">
        <x:f>MAX(IF('17 Program Economics'!C7=F$6,'17 Program Economics'!L7,0),IF('17 Program Economics'!C8=F$6,'17 Program Economics'!L8,0),IF('17 Program Economics'!C9=F$6,'17 Program Economics'!L9,0),IF('17 Program Economics'!C10=F$6,'17 Program Economics'!L10,0),IF('17 Program Economics'!C11=F$6,'17 Program Economics'!L11,0),IF('17 Program Economics'!C12=F$6,'17 Program Economics'!L12,0),IF('17 Program Economics'!C13=F$6,'17 Program Economics'!L13,0),IF('17 Program Economics'!C14=F$6,'17 Program Economics'!L14,0),IF('17 Program Economics'!C15=F$6,'17 Program Economics'!L15,0),IF('17 Program Economics'!C16=F$6,'17 Program Economics'!L16,0),IF('17 Program Economics'!C17=F$6,'17 Program Economics'!L17,0),IF('17 Program Economics'!C18=F$6,'17 Program Economics'!L18,0),IF('17 Program Economics'!C19=F$6,'17 Program Economics'!L19,0),IF('17 Program Economics'!C20=F$6,'17 Program Economics'!L20,0),IF('17 Program Economics'!C21=F$6,'17 Program Economics'!L21,0),IF('17 Program Economics'!C22=F$6,'17 Program Economics'!L22,0),IF('17 Program Economics'!C23=F$6,'17 Program Economics'!L23,0),IF('17 Program Economics'!C24=F$6,'17 Program Economics'!L24,0),IF('17 Program Economics'!C25=F$6,'17 Program Economics'!L25,0),IF('17 Program Economics'!C26=F$6,'17 Program Economics'!L26,0),IF('17 Program Economics'!C27=F$6,'17 Program Economics'!L27,0),IF('17 Program Economics'!C28=F$6,'17 Program Economics'!L28,0),IF('17 Program Economics'!C29=F$6,'17 Program Economics'!L29,0),IF('17 Program Economics'!C30=F$6,'17 Program Economics'!L30,0),IF('17 Program Economics'!C31=F$6,'17 Program Economics'!L31,0),IF('17 Program Economics'!C32=F$6,'17 Program Economics'!L32,0))</x:f>
        <x:v>0</x:v>
      </x:c>
      <x:c r="G58" s="194" t="n">
        <x:f>MAX(IF('17 Program Economics'!C7=G$6,'17 Program Economics'!L7,0),IF('17 Program Economics'!C8=G$6,'17 Program Economics'!L8,0),IF('17 Program Economics'!C9=G$6,'17 Program Economics'!L9,0),IF('17 Program Economics'!C10=G$6,'17 Program Economics'!L10,0),IF('17 Program Economics'!C11=G$6,'17 Program Economics'!L11,0),IF('17 Program Economics'!C12=G$6,'17 Program Economics'!L12,0),IF('17 Program Economics'!C13=G$6,'17 Program Economics'!L13,0),IF('17 Program Economics'!C14=G$6,'17 Program Economics'!L14,0),IF('17 Program Economics'!C15=G$6,'17 Program Economics'!L15,0),IF('17 Program Economics'!C16=G$6,'17 Program Economics'!L16,0),IF('17 Program Economics'!C17=G$6,'17 Program Economics'!L17,0),IF('17 Program Economics'!C18=G$6,'17 Program Economics'!L18,0),IF('17 Program Economics'!C19=G$6,'17 Program Economics'!L19,0),IF('17 Program Economics'!C20=G$6,'17 Program Economics'!L20,0),IF('17 Program Economics'!C21=G$6,'17 Program Economics'!L21,0),IF('17 Program Economics'!C22=G$6,'17 Program Economics'!L22,0),IF('17 Program Economics'!C23=G$6,'17 Program Economics'!L23,0),IF('17 Program Economics'!C24=G$6,'17 Program Economics'!L24,0),IF('17 Program Economics'!C25=G$6,'17 Program Economics'!L25,0),IF('17 Program Economics'!C26=G$6,'17 Program Economics'!L26,0),IF('17 Program Economics'!C27=G$6,'17 Program Economics'!L27,0),IF('17 Program Economics'!C28=G$6,'17 Program Economics'!L28,0),IF('17 Program Economics'!C29=G$6,'17 Program Economics'!L29,0),IF('17 Program Economics'!C30=G$6,'17 Program Economics'!L30,0),IF('17 Program Economics'!C31=G$6,'17 Program Economics'!L31,0),IF('17 Program Economics'!C32=G$6,'17 Program Economics'!L32,0))</x:f>
        <x:v>2</x:v>
      </x:c>
      <x:c r="H58" s="194" t="n">
        <x:f>MAX(IF('17 Program Economics'!C7=H$6,'17 Program Economics'!L7,0),IF('17 Program Economics'!C8=H$6,'17 Program Economics'!L8,0),IF('17 Program Economics'!C9=H$6,'17 Program Economics'!L9,0),IF('17 Program Economics'!C10=H$6,'17 Program Economics'!L10,0),IF('17 Program Economics'!C11=H$6,'17 Program Economics'!L11,0),IF('17 Program Economics'!C12=H$6,'17 Program Economics'!L12,0),IF('17 Program Economics'!C13=H$6,'17 Program Economics'!L13,0),IF('17 Program Economics'!C14=H$6,'17 Program Economics'!L14,0),IF('17 Program Economics'!C15=H$6,'17 Program Economics'!L15,0),IF('17 Program Economics'!C16=H$6,'17 Program Economics'!L16,0),IF('17 Program Economics'!C17=H$6,'17 Program Economics'!L17,0),IF('17 Program Economics'!C18=H$6,'17 Program Economics'!L18,0),IF('17 Program Economics'!C19=H$6,'17 Program Economics'!L19,0),IF('17 Program Economics'!C20=H$6,'17 Program Economics'!L20,0),IF('17 Program Economics'!C21=H$6,'17 Program Economics'!L21,0),IF('17 Program Economics'!C22=H$6,'17 Program Economics'!L22,0),IF('17 Program Economics'!C23=H$6,'17 Program Economics'!L23,0),IF('17 Program Economics'!C24=H$6,'17 Program Economics'!L24,0),IF('17 Program Economics'!C25=H$6,'17 Program Economics'!L25,0),IF('17 Program Economics'!C26=H$6,'17 Program Economics'!L26,0),IF('17 Program Economics'!C27=H$6,'17 Program Economics'!L27,0),IF('17 Program Economics'!C28=H$6,'17 Program Economics'!L28,0),IF('17 Program Economics'!C29=H$6,'17 Program Economics'!L29,0),IF('17 Program Economics'!C30=H$6,'17 Program Economics'!L30,0),IF('17 Program Economics'!C31=H$6,'17 Program Economics'!L31,0),IF('17 Program Economics'!C32=H$6,'17 Program Economics'!L32,0))</x:f>
        <x:v>0</x:v>
      </x:c>
      <x:c r="I58" s="194" t="n">
        <x:f>MAX(IF('17 Program Economics'!C7=I$6,'17 Program Economics'!L7,0),IF('17 Program Economics'!C8=I$6,'17 Program Economics'!L8,0),IF('17 Program Economics'!C9=I$6,'17 Program Economics'!L9,0),IF('17 Program Economics'!C10=I$6,'17 Program Economics'!L10,0),IF('17 Program Economics'!C11=I$6,'17 Program Economics'!L11,0),IF('17 Program Economics'!C12=I$6,'17 Program Economics'!L12,0),IF('17 Program Economics'!C13=I$6,'17 Program Economics'!L13,0),IF('17 Program Economics'!C14=I$6,'17 Program Economics'!L14,0),IF('17 Program Economics'!C15=I$6,'17 Program Economics'!L15,0),IF('17 Program Economics'!C16=I$6,'17 Program Economics'!L16,0),IF('17 Program Economics'!C17=I$6,'17 Program Economics'!L17,0),IF('17 Program Economics'!C18=I$6,'17 Program Economics'!L18,0),IF('17 Program Economics'!C19=I$6,'17 Program Economics'!L19,0),IF('17 Program Economics'!C20=I$6,'17 Program Economics'!L20,0),IF('17 Program Economics'!C21=I$6,'17 Program Economics'!L21,0),IF('17 Program Economics'!C22=I$6,'17 Program Economics'!L22,0),IF('17 Program Economics'!C23=I$6,'17 Program Economics'!L23,0),IF('17 Program Economics'!C24=I$6,'17 Program Economics'!L24,0),IF('17 Program Economics'!C25=I$6,'17 Program Economics'!L25,0),IF('17 Program Economics'!C26=I$6,'17 Program Economics'!L26,0),IF('17 Program Economics'!C27=I$6,'17 Program Economics'!L27,0),IF('17 Program Economics'!C28=I$6,'17 Program Economics'!L28,0),IF('17 Program Economics'!C29=I$6,'17 Program Economics'!L29,0),IF('17 Program Economics'!C30=I$6,'17 Program Economics'!L30,0),IF('17 Program Economics'!C31=I$6,'17 Program Economics'!L31,0),IF('17 Program Economics'!C32=I$6,'17 Program Economics'!L32,0))</x:f>
        <x:v>2</x:v>
      </x:c>
      <x:c r="J58" s="194" t="n">
        <x:f>MAX(IF('17 Program Economics'!C7=J$6,'17 Program Economics'!L7,0),IF('17 Program Economics'!C8=J$6,'17 Program Economics'!L8,0),IF('17 Program Economics'!C9=J$6,'17 Program Economics'!L9,0),IF('17 Program Economics'!C10=J$6,'17 Program Economics'!L10,0),IF('17 Program Economics'!C11=J$6,'17 Program Economics'!L11,0),IF('17 Program Economics'!C12=J$6,'17 Program Economics'!L12,0),IF('17 Program Economics'!C13=J$6,'17 Program Economics'!L13,0),IF('17 Program Economics'!C14=J$6,'17 Program Economics'!L14,0),IF('17 Program Economics'!C15=J$6,'17 Program Economics'!L15,0),IF('17 Program Economics'!C16=J$6,'17 Program Economics'!L16,0),IF('17 Program Economics'!C17=J$6,'17 Program Economics'!L17,0),IF('17 Program Economics'!C18=J$6,'17 Program Economics'!L18,0),IF('17 Program Economics'!C19=J$6,'17 Program Economics'!L19,0),IF('17 Program Economics'!C20=J$6,'17 Program Economics'!L20,0),IF('17 Program Economics'!C21=J$6,'17 Program Economics'!L21,0),IF('17 Program Economics'!C22=J$6,'17 Program Economics'!L22,0),IF('17 Program Economics'!C23=J$6,'17 Program Economics'!L23,0),IF('17 Program Economics'!C24=J$6,'17 Program Economics'!L24,0),IF('17 Program Economics'!C25=J$6,'17 Program Economics'!L25,0),IF('17 Program Economics'!C26=J$6,'17 Program Economics'!L26,0),IF('17 Program Economics'!C27=J$6,'17 Program Economics'!L27,0),IF('17 Program Economics'!C28=J$6,'17 Program Economics'!L28,0),IF('17 Program Economics'!C29=J$6,'17 Program Economics'!L29,0),IF('17 Program Economics'!C30=J$6,'17 Program Economics'!L30,0),IF('17 Program Economics'!C31=J$6,'17 Program Economics'!L31,0),IF('17 Program Economics'!C32=J$6,'17 Program Economics'!L32,0))</x:f>
        <x:v>0</x:v>
      </x:c>
      <x:c r="K58" s="194" t="n">
        <x:f>MAX(IF('17 Program Economics'!C7=K$6,'17 Program Economics'!L7,0),IF('17 Program Economics'!C8=K$6,'17 Program Economics'!L8,0),IF('17 Program Economics'!C9=K$6,'17 Program Economics'!L9,0),IF('17 Program Economics'!C10=K$6,'17 Program Economics'!L10,0),IF('17 Program Economics'!C11=K$6,'17 Program Economics'!L11,0),IF('17 Program Economics'!C12=K$6,'17 Program Economics'!L12,0),IF('17 Program Economics'!C13=K$6,'17 Program Economics'!L13,0),IF('17 Program Economics'!C14=K$6,'17 Program Economics'!L14,0),IF('17 Program Economics'!C15=K$6,'17 Program Economics'!L15,0),IF('17 Program Economics'!C16=K$6,'17 Program Economics'!L16,0),IF('17 Program Economics'!C17=K$6,'17 Program Economics'!L17,0),IF('17 Program Economics'!C18=K$6,'17 Program Economics'!L18,0),IF('17 Program Economics'!C19=K$6,'17 Program Economics'!L19,0),IF('17 Program Economics'!C20=K$6,'17 Program Economics'!L20,0),IF('17 Program Economics'!C21=K$6,'17 Program Economics'!L21,0),IF('17 Program Economics'!C22=K$6,'17 Program Economics'!L22,0),IF('17 Program Economics'!C23=K$6,'17 Program Economics'!L23,0),IF('17 Program Economics'!C24=K$6,'17 Program Economics'!L24,0),IF('17 Program Economics'!C25=K$6,'17 Program Economics'!L25,0),IF('17 Program Economics'!C26=K$6,'17 Program Economics'!L26,0),IF('17 Program Economics'!C27=K$6,'17 Program Economics'!L27,0),IF('17 Program Economics'!C28=K$6,'17 Program Economics'!L28,0),IF('17 Program Economics'!C29=K$6,'17 Program Economics'!L29,0),IF('17 Program Economics'!C30=K$6,'17 Program Economics'!L30,0),IF('17 Program Economics'!C31=K$6,'17 Program Economics'!L31,0),IF('17 Program Economics'!C32=K$6,'17 Program Economics'!L32,0))</x:f>
        <x:v>0</x:v>
      </x:c>
      <x:c r="L58" s="194" t="n">
        <x:f>MAX(IF('17 Program Economics'!C7=L$6,'17 Program Economics'!L7,0),IF('17 Program Economics'!C8=L$6,'17 Program Economics'!L8,0),IF('17 Program Economics'!C9=L$6,'17 Program Economics'!L9,0),IF('17 Program Economics'!C10=L$6,'17 Program Economics'!L10,0),IF('17 Program Economics'!C11=L$6,'17 Program Economics'!L11,0),IF('17 Program Economics'!C12=L$6,'17 Program Economics'!L12,0),IF('17 Program Economics'!C13=L$6,'17 Program Economics'!L13,0),IF('17 Program Economics'!C14=L$6,'17 Program Economics'!L14,0),IF('17 Program Economics'!C15=L$6,'17 Program Economics'!L15,0),IF('17 Program Economics'!C16=L$6,'17 Program Economics'!L16,0),IF('17 Program Economics'!C17=L$6,'17 Program Economics'!L17,0),IF('17 Program Economics'!C18=L$6,'17 Program Economics'!L18,0),IF('17 Program Economics'!C19=L$6,'17 Program Economics'!L19,0),IF('17 Program Economics'!C20=L$6,'17 Program Economics'!L20,0),IF('17 Program Economics'!C21=L$6,'17 Program Economics'!L21,0),IF('17 Program Economics'!C22=L$6,'17 Program Economics'!L22,0),IF('17 Program Economics'!C23=L$6,'17 Program Economics'!L23,0),IF('17 Program Economics'!C24=L$6,'17 Program Economics'!L24,0),IF('17 Program Economics'!C25=L$6,'17 Program Economics'!L25,0),IF('17 Program Economics'!C26=L$6,'17 Program Economics'!L26,0),IF('17 Program Economics'!C27=L$6,'17 Program Economics'!L27,0),IF('17 Program Economics'!C28=L$6,'17 Program Economics'!L28,0),IF('17 Program Economics'!C29=L$6,'17 Program Economics'!L29,0),IF('17 Program Economics'!C30=L$6,'17 Program Economics'!L30,0),IF('17 Program Economics'!C31=L$6,'17 Program Economics'!L31,0),IF('17 Program Economics'!C32=L$6,'17 Program Economics'!L32,0))</x:f>
        <x:v>3</x:v>
      </x:c>
      <x:c r="M58" s="194" t="n">
        <x:f>MAX(IF('17 Program Economics'!C7=M$6,'17 Program Economics'!L7,0),IF('17 Program Economics'!C8=M$6,'17 Program Economics'!L8,0),IF('17 Program Economics'!C9=M$6,'17 Program Economics'!L9,0),IF('17 Program Economics'!C10=M$6,'17 Program Economics'!L10,0),IF('17 Program Economics'!C11=M$6,'17 Program Economics'!L11,0),IF('17 Program Economics'!C12=M$6,'17 Program Economics'!L12,0),IF('17 Program Economics'!C13=M$6,'17 Program Economics'!L13,0),IF('17 Program Economics'!C14=M$6,'17 Program Economics'!L14,0),IF('17 Program Economics'!C15=M$6,'17 Program Economics'!L15,0),IF('17 Program Economics'!C16=M$6,'17 Program Economics'!L16,0),IF('17 Program Economics'!C17=M$6,'17 Program Economics'!L17,0),IF('17 Program Economics'!C18=M$6,'17 Program Economics'!L18,0),IF('17 Program Economics'!C19=M$6,'17 Program Economics'!L19,0),IF('17 Program Economics'!C20=M$6,'17 Program Economics'!L20,0),IF('17 Program Economics'!C21=M$6,'17 Program Economics'!L21,0),IF('17 Program Economics'!C22=M$6,'17 Program Economics'!L22,0),IF('17 Program Economics'!C23=M$6,'17 Program Economics'!L23,0),IF('17 Program Economics'!C24=M$6,'17 Program Economics'!L24,0),IF('17 Program Economics'!C25=M$6,'17 Program Economics'!L25,0),IF('17 Program Economics'!C26=M$6,'17 Program Economics'!L26,0),IF('17 Program Economics'!C27=M$6,'17 Program Economics'!L27,0),IF('17 Program Economics'!C28=M$6,'17 Program Economics'!L28,0),IF('17 Program Economics'!C29=M$6,'17 Program Economics'!L29,0),IF('17 Program Economics'!C30=M$6,'17 Program Economics'!L30,0),IF('17 Program Economics'!C31=M$6,'17 Program Economics'!L31,0),IF('17 Program Economics'!C32=M$6,'17 Program Economics'!L32,0))</x:f>
        <x:v>1</x:v>
      </x:c>
      <x:c r="N58" s="194" t="n">
        <x:f>MAX(IF('17 Program Economics'!C7=N$6,'17 Program Economics'!L7,0),IF('17 Program Economics'!C8=N$6,'17 Program Economics'!L8,0),IF('17 Program Economics'!C9=N$6,'17 Program Economics'!L9,0),IF('17 Program Economics'!C10=N$6,'17 Program Economics'!L10,0),IF('17 Program Economics'!C11=N$6,'17 Program Economics'!L11,0),IF('17 Program Economics'!C12=N$6,'17 Program Economics'!L12,0),IF('17 Program Economics'!C13=N$6,'17 Program Economics'!L13,0),IF('17 Program Economics'!C14=N$6,'17 Program Economics'!L14,0),IF('17 Program Economics'!C15=N$6,'17 Program Economics'!L15,0),IF('17 Program Economics'!C16=N$6,'17 Program Economics'!L16,0),IF('17 Program Economics'!C17=N$6,'17 Program Economics'!L17,0),IF('17 Program Economics'!C18=N$6,'17 Program Economics'!L18,0),IF('17 Program Economics'!C19=N$6,'17 Program Economics'!L19,0),IF('17 Program Economics'!C20=N$6,'17 Program Economics'!L20,0),IF('17 Program Economics'!C21=N$6,'17 Program Economics'!L21,0),IF('17 Program Economics'!C22=N$6,'17 Program Economics'!L22,0),IF('17 Program Economics'!C23=N$6,'17 Program Economics'!L23,0),IF('17 Program Economics'!C24=N$6,'17 Program Economics'!L24,0),IF('17 Program Economics'!C25=N$6,'17 Program Economics'!L25,0),IF('17 Program Economics'!C26=N$6,'17 Program Economics'!L26,0),IF('17 Program Economics'!C27=N$6,'17 Program Economics'!L27,0),IF('17 Program Economics'!C28=N$6,'17 Program Economics'!L28,0),IF('17 Program Economics'!C29=N$6,'17 Program Economics'!L29,0),IF('17 Program Economics'!C30=N$6,'17 Program Economics'!L30,0),IF('17 Program Economics'!C31=N$6,'17 Program Economics'!L31,0),IF('17 Program Economics'!C32=N$6,'17 Program Economics'!L32,0))</x:f>
        <x:v>2</x:v>
      </x:c>
      <x:c r="O58" s="194" t="n">
        <x:f>MAX(IF('17 Program Economics'!C7=O$6,'17 Program Economics'!L7,0),IF('17 Program Economics'!C8=O$6,'17 Program Economics'!L8,0),IF('17 Program Economics'!C9=O$6,'17 Program Economics'!L9,0),IF('17 Program Economics'!C10=O$6,'17 Program Economics'!L10,0),IF('17 Program Economics'!C11=O$6,'17 Program Economics'!L11,0),IF('17 Program Economics'!C12=O$6,'17 Program Economics'!L12,0),IF('17 Program Economics'!C13=O$6,'17 Program Economics'!L13,0),IF('17 Program Economics'!C14=O$6,'17 Program Economics'!L14,0),IF('17 Program Economics'!C15=O$6,'17 Program Economics'!L15,0),IF('17 Program Economics'!C16=O$6,'17 Program Economics'!L16,0),IF('17 Program Economics'!C17=O$6,'17 Program Economics'!L17,0),IF('17 Program Economics'!C18=O$6,'17 Program Economics'!L18,0),IF('17 Program Economics'!C19=O$6,'17 Program Economics'!L19,0),IF('17 Program Economics'!C20=O$6,'17 Program Economics'!L20,0),IF('17 Program Economics'!C21=O$6,'17 Program Economics'!L21,0),IF('17 Program Economics'!C22=O$6,'17 Program Economics'!L22,0),IF('17 Program Economics'!C23=O$6,'17 Program Economics'!L23,0),IF('17 Program Economics'!C24=O$6,'17 Program Economics'!L24,0),IF('17 Program Economics'!C25=O$6,'17 Program Economics'!L25,0),IF('17 Program Economics'!C26=O$6,'17 Program Economics'!L26,0),IF('17 Program Economics'!C27=O$6,'17 Program Economics'!L27,0),IF('17 Program Economics'!C28=O$6,'17 Program Economics'!L28,0),IF('17 Program Economics'!C29=O$6,'17 Program Economics'!L29,0),IF('17 Program Economics'!C30=O$6,'17 Program Economics'!L30,0),IF('17 Program Economics'!C31=O$6,'17 Program Economics'!L31,0),IF('17 Program Economics'!C32=O$6,'17 Program Economics'!L32,0))</x:f>
        <x:v>0</x:v>
      </x:c>
      <x:c r="P58" s="195" t="n">
        <x:f>MAX(D58:O58)</x:f>
        <x:v>3</x:v>
      </x:c>
      <x:c r="Q58" s="164"/>
      <x:c r="R58" s="188" t="str">
        <x:v>Sep needs 3 assistants concurrently. One regular person plus 2 individually booked people.</x:v>
      </x:c>
    </x:row>
    <x:row r="59" ht="22" customHeight="1">
      <x:c r="B59" s="164"/>
      <x:c r="C59" s="164"/>
      <x:c r="D59" s="174"/>
      <x:c r="E59" s="174"/>
      <x:c r="F59" s="174"/>
      <x:c r="G59" s="174"/>
      <x:c r="H59" s="174"/>
      <x:c r="I59" s="174"/>
      <x:c r="J59" s="174"/>
      <x:c r="K59" s="174"/>
      <x:c r="L59" s="174"/>
      <x:c r="M59" s="174"/>
      <x:c r="N59" s="174"/>
      <x:c r="O59" s="174"/>
      <x:c r="P59" s="174"/>
      <x:c r="Q59" s="164"/>
      <x:c r="R59" s="164"/>
    </x:row>
  </x:sheetData>
  <x:pageMargins left="0.7" right="0.7" top="0.75" bottom="0.75" header="0.3" footer="0.3"/>
</x:worksheet>
</file>

<file path=xl/worksheets/sheet17.xml><?xml version="1.0" encoding="utf-8"?>
<x:worksheet xmlns:x="http://schemas.openxmlformats.org/spreadsheetml/2006/main">
  <x:sheetPr>
    <x:tabColor rgb="FF183E4C"/>
  </x:sheetPr>
  <x:sheetViews>
    <x:sheetView showGridLines="0" workbookViewId="0">
      <x:pane xSplit="3" ySplit="6" topLeftCell="D7" activePane="bottomRight" state="frozen"/>
    </x:sheetView>
  </x:sheetViews>
  <x:sheetFormatPr defaultRowHeight="15"/>
  <x:cols>
    <x:col min="2" max="2" width="38" hidden="0" customWidth="1"/>
    <x:col min="3" max="3" width="5"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5" hidden="0" customWidth="1"/>
    <x:col min="17" max="17" width="3" hidden="0" customWidth="1"/>
    <x:col min="18" max="18" width="74" hidden="0" customWidth="1"/>
  </x:cols>
  <x:sheetData>
    <x:row r="2">
      <x:c r="B2" s="166" t="str">
        <x:v>Part 2 costed decisions and delivery capacity</x:v>
      </x:c>
      <x:c r="C2" s="167"/>
      <x:c r="D2" s="167"/>
      <x:c r="E2" s="167"/>
      <x:c r="F2" s="167"/>
      <x:c r="G2" s="167"/>
      <x:c r="H2" s="167"/>
      <x:c r="I2" s="167"/>
      <x:c r="J2" s="167"/>
      <x:c r="K2" s="167"/>
      <x:c r="L2" s="167"/>
      <x:c r="M2" s="167"/>
      <x:c r="N2" s="167"/>
      <x:c r="O2" s="167"/>
      <x:c r="P2" s="167"/>
      <x:c r="Q2" s="164"/>
      <x:c r="R2" s="164"/>
    </x:row>
    <x:row r="3">
      <x:c r="B3" s="168" t="str">
        <x:v>2026 monthly budget. EUR excluding VAT. Costs are negative.</x:v>
      </x:c>
      <x:c r="C3" s="164"/>
      <x:c r="D3" s="164"/>
      <x:c r="E3" s="164"/>
      <x:c r="F3" s="164"/>
      <x:c r="G3" s="164"/>
      <x:c r="H3" s="164"/>
      <x:c r="I3" s="164"/>
      <x:c r="J3" s="164"/>
      <x:c r="K3" s="164"/>
      <x:c r="L3" s="164"/>
      <x:c r="M3" s="164"/>
      <x:c r="N3" s="164"/>
      <x:c r="O3" s="164"/>
      <x:c r="P3" s="164"/>
      <x:c r="Q3" s="164"/>
      <x:c r="R3" s="164"/>
    </x:row>
    <x:row r="4">
      <x:c r="B4" s="164"/>
      <x:c r="C4" s="164"/>
      <x:c r="D4" s="164"/>
      <x:c r="E4" s="164"/>
      <x:c r="F4" s="164"/>
      <x:c r="G4" s="164"/>
      <x:c r="H4" s="164"/>
      <x:c r="I4" s="164"/>
      <x:c r="J4" s="164"/>
      <x:c r="K4" s="164"/>
      <x:c r="L4" s="164"/>
      <x:c r="M4" s="164"/>
      <x:c r="N4" s="164"/>
      <x:c r="O4" s="164"/>
      <x:c r="P4" s="164"/>
      <x:c r="Q4" s="164"/>
      <x:c r="R4" s="164"/>
    </x:row>
    <x:row r="5">
      <x:c r="B5" s="164"/>
      <x:c r="C5" s="164"/>
      <x:c r="D5" s="173" t="d">
        <x:v>2026-01-01T00:00:00.000Z</x:v>
      </x:c>
      <x:c r="E5" s="173" t="d">
        <x:v>2026-02-01T00:00:00.000Z</x:v>
      </x:c>
      <x:c r="F5" s="173" t="d">
        <x:v>2026-03-01T00:00:00.000Z</x:v>
      </x:c>
      <x:c r="G5" s="173" t="d">
        <x:v>2026-04-01T00:00:00.000Z</x:v>
      </x:c>
      <x:c r="H5" s="173" t="d">
        <x:v>2026-05-01T00:00:00.000Z</x:v>
      </x:c>
      <x:c r="I5" s="173" t="d">
        <x:v>2026-06-01T00:00:00.000Z</x:v>
      </x:c>
      <x:c r="J5" s="173" t="d">
        <x:v>2026-07-01T00:00:00.000Z</x:v>
      </x:c>
      <x:c r="K5" s="173" t="d">
        <x:v>2026-08-01T00:00:00.000Z</x:v>
      </x:c>
      <x:c r="L5" s="173" t="d">
        <x:v>2026-09-01T00:00:00.000Z</x:v>
      </x:c>
      <x:c r="M5" s="173" t="d">
        <x:v>2026-10-01T00:00:00.000Z</x:v>
      </x:c>
      <x:c r="N5" s="173" t="d">
        <x:v>2026-11-01T00:00:00.000Z</x:v>
      </x:c>
      <x:c r="O5" s="173" t="d">
        <x:v>2026-12-01T00:00:00.000Z</x:v>
      </x:c>
      <x:c r="P5" s="164"/>
      <x:c r="Q5" s="164"/>
      <x:c r="R5" s="164"/>
    </x:row>
    <x:row r="6" ht="28" customHeight="1">
      <x:c r="B6" s="171"/>
      <x:c r="C6" s="171"/>
      <x:c r="D6" s="171" t="str">
        <x:v>Jan</x:v>
      </x:c>
      <x:c r="E6" s="171" t="str">
        <x:v>Feb</x:v>
      </x:c>
      <x:c r="F6" s="171" t="str">
        <x:v>Mar</x:v>
      </x:c>
      <x:c r="G6" s="171" t="str">
        <x:v>Apr</x:v>
      </x:c>
      <x:c r="H6" s="171" t="str">
        <x:v>May</x:v>
      </x:c>
      <x:c r="I6" s="171" t="str">
        <x:v>Jun</x:v>
      </x:c>
      <x:c r="J6" s="171" t="str">
        <x:v>Jul</x:v>
      </x:c>
      <x:c r="K6" s="171" t="str">
        <x:v>Aug</x:v>
      </x:c>
      <x:c r="L6" s="171" t="str">
        <x:v>Sep</x:v>
      </x:c>
      <x:c r="M6" s="171" t="str">
        <x:v>Oct</x:v>
      </x:c>
      <x:c r="N6" s="171" t="str">
        <x:v>Nov</x:v>
      </x:c>
      <x:c r="O6" s="171" t="str">
        <x:v>Dec</x:v>
      </x:c>
      <x:c r="P6" s="171" t="str">
        <x:v>FY Total</x:v>
      </x:c>
      <x:c r="Q6" s="164"/>
      <x:c r="R6" s="164"/>
    </x:row>
    <x:row r="7" ht="22" customHeight="1">
      <x:c r="B7" s="164" t="str">
        <x:v>Part 1 revenue</x:v>
      </x:c>
      <x:c r="C7" s="164"/>
      <x:c r="D7" s="175" t="n">
        <x:f>'15 P1 Workings'!D40</x:f>
        <x:v>39800</x:v>
      </x:c>
      <x:c r="E7" s="175" t="n">
        <x:f>'15 P1 Workings'!E40</x:f>
        <x:v>40200</x:v>
      </x:c>
      <x:c r="F7" s="175" t="n">
        <x:f>'15 P1 Workings'!F40</x:f>
        <x:v>34500</x:v>
      </x:c>
      <x:c r="G7" s="175" t="n">
        <x:f>'15 P1 Workings'!G40</x:f>
        <x:v>32500</x:v>
      </x:c>
      <x:c r="H7" s="175" t="n">
        <x:f>'15 P1 Workings'!H40</x:f>
        <x:v>32800</x:v>
      </x:c>
      <x:c r="I7" s="175" t="n">
        <x:f>'15 P1 Workings'!I40</x:f>
        <x:v>20000</x:v>
      </x:c>
      <x:c r="J7" s="175" t="n">
        <x:f>'15 P1 Workings'!J40</x:f>
        <x:v>11250</x:v>
      </x:c>
      <x:c r="K7" s="175" t="n">
        <x:f>'15 P1 Workings'!K40</x:f>
        <x:v>28500</x:v>
      </x:c>
      <x:c r="L7" s="175" t="n">
        <x:f>'15 P1 Workings'!L40</x:f>
        <x:v>52700</x:v>
      </x:c>
      <x:c r="M7" s="175" t="n">
        <x:f>'15 P1 Workings'!M40</x:f>
        <x:v>58500</x:v>
      </x:c>
      <x:c r="N7" s="175" t="n">
        <x:f>'15 P1 Workings'!N40</x:f>
        <x:v>33800</x:v>
      </x:c>
      <x:c r="O7" s="175" t="n">
        <x:f>'15 P1 Workings'!O40</x:f>
        <x:v>30000</x:v>
      </x:c>
      <x:c r="P7" s="174" t="n">
        <x:f>SUM(D7:O7)</x:f>
        <x:v>414550</x:v>
      </x:c>
      <x:c r="Q7" s="164"/>
      <x:c r="R7" s="164"/>
    </x:row>
    <x:row r="8" ht="22" customHeight="1">
      <x:c r="B8" s="164" t="str">
        <x:v>Unbudgeted former Anna corporate book</x:v>
      </x:c>
      <x:c r="C8" s="164"/>
      <x:c r="D8" s="175" t="n">
        <x:f>MAX(0,'15 P1 Workings'!D13-'15 P1 Workings'!D18)</x:f>
        <x:v>0</x:v>
      </x:c>
      <x:c r="E8" s="175" t="n">
        <x:f>MAX(0,'15 P1 Workings'!E13-'15 P1 Workings'!E18)</x:f>
        <x:v>0</x:v>
      </x:c>
      <x:c r="F8" s="175" t="n">
        <x:f>MAX(0,'15 P1 Workings'!F13-'15 P1 Workings'!F18)</x:f>
        <x:v>10000</x:v>
      </x:c>
      <x:c r="G8" s="175" t="n">
        <x:f>MAX(0,'15 P1 Workings'!G13-'15 P1 Workings'!G18)</x:f>
        <x:v>17500</x:v>
      </x:c>
      <x:c r="H8" s="175" t="n">
        <x:f>MAX(0,'15 P1 Workings'!H13-'15 P1 Workings'!H18)</x:f>
        <x:v>7500</x:v>
      </x:c>
      <x:c r="I8" s="175" t="n">
        <x:f>MAX(0,'15 P1 Workings'!I13-'15 P1 Workings'!I18)</x:f>
        <x:v>2500</x:v>
      </x:c>
      <x:c r="J8" s="175" t="n">
        <x:f>MAX(0,'15 P1 Workings'!J13-'15 P1 Workings'!J18)</x:f>
        <x:v>1250</x:v>
      </x:c>
      <x:c r="K8" s="175" t="n">
        <x:f>MAX(0,'15 P1 Workings'!K13-'15 P1 Workings'!K18)</x:f>
        <x:v>0</x:v>
      </x:c>
      <x:c r="L8" s="175" t="n">
        <x:f>MAX(0,'15 P1 Workings'!L13-'15 P1 Workings'!L18)</x:f>
        <x:v>0</x:v>
      </x:c>
      <x:c r="M8" s="175" t="n">
        <x:f>MAX(0,'15 P1 Workings'!M13-'15 P1 Workings'!M18)</x:f>
        <x:v>0</x:v>
      </x:c>
      <x:c r="N8" s="175" t="n">
        <x:f>MAX(0,'15 P1 Workings'!N13-'15 P1 Workings'!N18)</x:f>
        <x:v>0</x:v>
      </x:c>
      <x:c r="O8" s="175" t="n">
        <x:f>MAX(0,'15 P1 Workings'!O13-'15 P1 Workings'!O18)</x:f>
        <x:v>0</x:v>
      </x:c>
      <x:c r="P8" s="174" t="n">
        <x:f>SUM(D8:O8)</x:f>
        <x:v>38750</x:v>
      </x:c>
      <x:c r="Q8" s="164"/>
      <x:c r="R8" s="164"/>
    </x:row>
    <x:row r="9" ht="22" customHeight="1">
      <x:c r="B9" s="183" t="str">
        <x:v>D1 expected recovered corporate revenue</x:v>
      </x:c>
      <x:c r="C9" s="183"/>
      <x:c r="D9" s="187" t="n">
        <x:f>IF(MONTH(D$5)&gt;=3,D8*'14 Drivers'!$D$41,0)</x:f>
        <x:v>0</x:v>
      </x:c>
      <x:c r="E9" s="187" t="n">
        <x:f>IF(MONTH(E$5)&gt;=3,E8*'14 Drivers'!$D$41,0)</x:f>
        <x:v>0</x:v>
      </x:c>
      <x:c r="F9" s="187" t="n">
        <x:f>IF(MONTH(F$5)&gt;=3,F8*'14 Drivers'!$D$41,0)</x:f>
        <x:v>4000</x:v>
      </x:c>
      <x:c r="G9" s="187" t="n">
        <x:f>IF(MONTH(G$5)&gt;=3,G8*'14 Drivers'!$D$41,0)</x:f>
        <x:v>7000</x:v>
      </x:c>
      <x:c r="H9" s="187" t="n">
        <x:f>IF(MONTH(H$5)&gt;=3,H8*'14 Drivers'!$D$41,0)</x:f>
        <x:v>3000</x:v>
      </x:c>
      <x:c r="I9" s="187" t="n">
        <x:f>IF(MONTH(I$5)&gt;=3,I8*'14 Drivers'!$D$41,0)</x:f>
        <x:v>1000</x:v>
      </x:c>
      <x:c r="J9" s="187" t="n">
        <x:f>IF(MONTH(J$5)&gt;=3,J8*'14 Drivers'!$D$41,0)</x:f>
        <x:v>500</x:v>
      </x:c>
      <x:c r="K9" s="187" t="n">
        <x:f>IF(MONTH(K$5)&gt;=3,K8*'14 Drivers'!$D$41,0)</x:f>
        <x:v>0</x:v>
      </x:c>
      <x:c r="L9" s="187" t="n">
        <x:f>IF(MONTH(L$5)&gt;=3,L8*'14 Drivers'!$D$41,0)</x:f>
        <x:v>0</x:v>
      </x:c>
      <x:c r="M9" s="187" t="n">
        <x:f>IF(MONTH(M$5)&gt;=3,M8*'14 Drivers'!$D$41,0)</x:f>
        <x:v>0</x:v>
      </x:c>
      <x:c r="N9" s="187" t="n">
        <x:f>IF(MONTH(N$5)&gt;=3,N8*'14 Drivers'!$D$41,0)</x:f>
        <x:v>0</x:v>
      </x:c>
      <x:c r="O9" s="187" t="n">
        <x:f>IF(MONTH(O$5)&gt;=3,O8*'14 Drivers'!$D$41,0)</x:f>
        <x:v>0</x:v>
      </x:c>
      <x:c r="P9" s="185" t="n">
        <x:f>SUM(D9:O9)</x:f>
        <x:v>15500</x:v>
      </x:c>
      <x:c r="Q9" s="164"/>
      <x:c r="R9" s="188" t="str">
        <x:v>D1: 40% of only unbudgeted portfolio. Jan/Feb negotiation; no agreement assumed signed.</x:v>
      </x:c>
    </x:row>
    <x:row r="10" ht="22" customHeight="1">
      <x:c r="B10" s="164" t="str">
        <x:v>D1 incremental standard delivery days</x:v>
      </x:c>
      <x:c r="C10" s="164"/>
      <x:c r="D10" s="194" t="n">
        <x:f>D9/'14 Drivers'!$D$22</x:f>
        <x:v>0</x:v>
      </x:c>
      <x:c r="E10" s="194" t="n">
        <x:f>E9/'14 Drivers'!$D$22</x:f>
        <x:v>0</x:v>
      </x:c>
      <x:c r="F10" s="194" t="n">
        <x:f>F9/'14 Drivers'!$D$22</x:f>
        <x:v>1.6</x:v>
      </x:c>
      <x:c r="G10" s="194" t="n">
        <x:f>G9/'14 Drivers'!$D$22</x:f>
        <x:v>2.8</x:v>
      </x:c>
      <x:c r="H10" s="194" t="n">
        <x:f>H9/'14 Drivers'!$D$22</x:f>
        <x:v>1.2</x:v>
      </x:c>
      <x:c r="I10" s="194" t="n">
        <x:f>I9/'14 Drivers'!$D$22</x:f>
        <x:v>0.4</x:v>
      </x:c>
      <x:c r="J10" s="194" t="n">
        <x:f>J9/'14 Drivers'!$D$22</x:f>
        <x:v>0.2</x:v>
      </x:c>
      <x:c r="K10" s="194" t="n">
        <x:f>K9/'14 Drivers'!$D$22</x:f>
        <x:v>0</x:v>
      </x:c>
      <x:c r="L10" s="194" t="n">
        <x:f>L9/'14 Drivers'!$D$22</x:f>
        <x:v>0</x:v>
      </x:c>
      <x:c r="M10" s="194" t="n">
        <x:f>M9/'14 Drivers'!$D$22</x:f>
        <x:v>0</x:v>
      </x:c>
      <x:c r="N10" s="194" t="n">
        <x:f>N9/'14 Drivers'!$D$22</x:f>
        <x:v>0</x:v>
      </x:c>
      <x:c r="O10" s="194" t="n">
        <x:f>O9/'14 Drivers'!$D$22</x:f>
        <x:v>0</x:v>
      </x:c>
      <x:c r="P10" s="195" t="n">
        <x:f>SUM(D10:O10)</x:f>
        <x:v>6.200000000000001</x:v>
      </x:c>
      <x:c r="Q10" s="164"/>
      <x:c r="R10" s="164"/>
    </x:row>
    <x:row r="11" ht="22" customHeight="1">
      <x:c r="B11" s="164" t="str">
        <x:v>D1 ordinary incremental direct costs</x:v>
      </x:c>
      <x:c r="C11" s="164"/>
      <x:c r="D11" s="175" t="n">
        <x:f>-D10*('14 Drivers'!D9+'14 Drivers'!$D$24*'14 Drivers'!$D$31+'14 Drivers'!$D$51)-D9*'14 Drivers'!$D$33</x:f>
        <x:v>0</x:v>
      </x:c>
      <x:c r="E11" s="175" t="n">
        <x:f>-E10*('14 Drivers'!E9+'14 Drivers'!$D$24*'14 Drivers'!$D$31+'14 Drivers'!$D$51)-E9*'14 Drivers'!$D$33</x:f>
        <x:v>0</x:v>
      </x:c>
      <x:c r="F11" s="175" t="n">
        <x:f>-F10*('14 Drivers'!F9+'14 Drivers'!$D$24*'14 Drivers'!$D$31+'14 Drivers'!$D$51)-F9*'14 Drivers'!$D$33</x:f>
        <x:v>-2172.5</x:v>
      </x:c>
      <x:c r="G11" s="175" t="n">
        <x:f>-G10*('14 Drivers'!G9+'14 Drivers'!$D$24*'14 Drivers'!$D$31+'14 Drivers'!$D$51)-G9*'14 Drivers'!$D$33</x:f>
        <x:v>-3801.875</x:v>
      </x:c>
      <x:c r="H11" s="175" t="n">
        <x:f>-H10*('14 Drivers'!H9+'14 Drivers'!$D$24*'14 Drivers'!$D$31+'14 Drivers'!$D$51)-H9*'14 Drivers'!$D$33</x:f>
        <x:v>-1629.375</x:v>
      </x:c>
      <x:c r="I11" s="175" t="n">
        <x:f>-I10*('14 Drivers'!I9+'14 Drivers'!$D$24*'14 Drivers'!$D$31+'14 Drivers'!$D$51)-I9*'14 Drivers'!$D$33</x:f>
        <x:v>-543.125</x:v>
      </x:c>
      <x:c r="J11" s="175" t="n">
        <x:f>-J10*('14 Drivers'!J9+'14 Drivers'!$D$24*'14 Drivers'!$D$31+'14 Drivers'!$D$51)-J9*'14 Drivers'!$D$33</x:f>
        <x:v>-285.5625</x:v>
      </x:c>
      <x:c r="K11" s="175" t="n">
        <x:f>-K10*('14 Drivers'!K9+'14 Drivers'!$D$24*'14 Drivers'!$D$31+'14 Drivers'!$D$51)-K9*'14 Drivers'!$D$33</x:f>
        <x:v>0</x:v>
      </x:c>
      <x:c r="L11" s="175" t="n">
        <x:f>-L10*('14 Drivers'!L9+'14 Drivers'!$D$24*'14 Drivers'!$D$31+'14 Drivers'!$D$51)-L9*'14 Drivers'!$D$33</x:f>
        <x:v>0</x:v>
      </x:c>
      <x:c r="M11" s="175" t="n">
        <x:f>-M10*('14 Drivers'!M9+'14 Drivers'!$D$24*'14 Drivers'!$D$31+'14 Drivers'!$D$51)-M9*'14 Drivers'!$D$33</x:f>
        <x:v>0</x:v>
      </x:c>
      <x:c r="N11" s="175" t="n">
        <x:f>-N10*('14 Drivers'!N9+'14 Drivers'!$D$24*'14 Drivers'!$D$31+'14 Drivers'!$D$51)-N9*'14 Drivers'!$D$33</x:f>
        <x:v>0</x:v>
      </x:c>
      <x:c r="O11" s="175" t="n">
        <x:f>-O10*('14 Drivers'!O9+'14 Drivers'!$D$24*'14 Drivers'!$D$31+'14 Drivers'!$D$51)-O9*'14 Drivers'!$D$33</x:f>
        <x:v>0</x:v>
      </x:c>
      <x:c r="P11" s="174" t="n">
        <x:f>SUM(D11:O11)</x:f>
        <x:v>-8432.4375</x:v>
      </x:c>
      <x:c r="Q11" s="164"/>
      <x:c r="R11" s="164"/>
    </x:row>
    <x:row r="12" ht="22" customHeight="1">
      <x:c r="B12" s="164" t="str">
        <x:v>Anna source-calendar revenue after February</x:v>
      </x:c>
      <x:c r="C12" s="164"/>
      <x:c r="D12" s="175" t="n">
        <x:f>IF(MONTH(D$5)&gt;=3,'15 P1 Workings'!D14,0)</x:f>
        <x:v>0</x:v>
      </x:c>
      <x:c r="E12" s="175" t="n">
        <x:f>IF(MONTH(E$5)&gt;=3,'15 P1 Workings'!E14,0)</x:f>
        <x:v>0</x:v>
      </x:c>
      <x:c r="F12" s="175" t="n">
        <x:f>IF(MONTH(F$5)&gt;=3,'15 P1 Workings'!F14,0)</x:f>
        <x:v>5000</x:v>
      </x:c>
      <x:c r="G12" s="175" t="n">
        <x:f>IF(MONTH(G$5)&gt;=3,'15 P1 Workings'!G14,0)</x:f>
        <x:v>0</x:v>
      </x:c>
      <x:c r="H12" s="175" t="n">
        <x:f>IF(MONTH(H$5)&gt;=3,'15 P1 Workings'!H14,0)</x:f>
        <x:v>2500</x:v>
      </x:c>
      <x:c r="I12" s="175" t="n">
        <x:f>IF(MONTH(I$5)&gt;=3,'15 P1 Workings'!I14,0)</x:f>
        <x:v>0</x:v>
      </x:c>
      <x:c r="J12" s="175" t="n">
        <x:f>IF(MONTH(J$5)&gt;=3,'15 P1 Workings'!J14,0)</x:f>
        <x:v>0</x:v>
      </x:c>
      <x:c r="K12" s="175" t="n">
        <x:f>IF(MONTH(K$5)&gt;=3,'15 P1 Workings'!K14,0)</x:f>
        <x:v>0</x:v>
      </x:c>
      <x:c r="L12" s="175" t="n">
        <x:f>IF(MONTH(L$5)&gt;=3,'15 P1 Workings'!L14,0)</x:f>
        <x:v>15400</x:v>
      </x:c>
      <x:c r="M12" s="175" t="n">
        <x:f>IF(MONTH(M$5)&gt;=3,'15 P1 Workings'!M14,0)</x:f>
        <x:v>0</x:v>
      </x:c>
      <x:c r="N12" s="175" t="n">
        <x:f>IF(MONTH(N$5)&gt;=3,'15 P1 Workings'!N14,0)</x:f>
        <x:v>5000</x:v>
      </x:c>
      <x:c r="O12" s="175" t="n">
        <x:f>IF(MONTH(O$5)&gt;=3,'15 P1 Workings'!O14,0)</x:f>
        <x:v>0</x:v>
      </x:c>
      <x:c r="P12" s="174" t="n">
        <x:f>SUM(D12:O12)</x:f>
        <x:v>27900</x:v>
      </x:c>
      <x:c r="Q12" s="164"/>
      <x:c r="R12" s="164"/>
    </x:row>
    <x:row r="13" ht="22" customHeight="1">
      <x:c r="B13" s="164" t="str">
        <x:v>Anna proposed contract revenue base</x:v>
      </x:c>
      <x:c r="C13" s="164"/>
      <x:c r="D13" s="174" t="n">
        <x:f>SUM(D9,D12)</x:f>
        <x:v>0</x:v>
      </x:c>
      <x:c r="E13" s="174" t="n">
        <x:f>SUM(E9,E12)</x:f>
        <x:v>0</x:v>
      </x:c>
      <x:c r="F13" s="174" t="n">
        <x:f>SUM(F9,F12)</x:f>
        <x:v>9000</x:v>
      </x:c>
      <x:c r="G13" s="174" t="n">
        <x:f>SUM(G9,G12)</x:f>
        <x:v>7000</x:v>
      </x:c>
      <x:c r="H13" s="174" t="n">
        <x:f>SUM(H9,H12)</x:f>
        <x:v>5500</x:v>
      </x:c>
      <x:c r="I13" s="174" t="n">
        <x:f>SUM(I9,I12)</x:f>
        <x:v>1000</x:v>
      </x:c>
      <x:c r="J13" s="174" t="n">
        <x:f>SUM(J9,J12)</x:f>
        <x:v>500</x:v>
      </x:c>
      <x:c r="K13" s="174" t="n">
        <x:f>SUM(K9,K12)</x:f>
        <x:v>0</x:v>
      </x:c>
      <x:c r="L13" s="174" t="n">
        <x:f>SUM(L9,L12)</x:f>
        <x:v>15400</x:v>
      </x:c>
      <x:c r="M13" s="174" t="n">
        <x:f>SUM(M9,M12)</x:f>
        <x:v>0</x:v>
      </x:c>
      <x:c r="N13" s="174" t="n">
        <x:f>SUM(N9,N12)</x:f>
        <x:v>5000</x:v>
      </x:c>
      <x:c r="O13" s="174" t="n">
        <x:f>SUM(O9,O12)</x:f>
        <x:v>0</x:v>
      </x:c>
      <x:c r="P13" s="174" t="n">
        <x:f>SUM(D13:O13)</x:f>
        <x:v>43400</x:v>
      </x:c>
      <x:c r="Q13" s="164"/>
      <x:c r="R13" s="164"/>
    </x:row>
    <x:row r="14" ht="22" customHeight="1">
      <x:c r="B14" s="183" t="str">
        <x:v>D1 commission premium above ordinary 5%</x:v>
      </x:c>
      <x:c r="C14" s="183"/>
      <x:c r="D14" s="187" t="n">
        <x:f>-D13*('14 Drivers'!$D$42-'14 Drivers'!$D$33)</x:f>
        <x:v>0</x:v>
      </x:c>
      <x:c r="E14" s="187" t="n">
        <x:f>-E13*('14 Drivers'!$D$42-'14 Drivers'!$D$33)</x:f>
        <x:v>0</x:v>
      </x:c>
      <x:c r="F14" s="187" t="n">
        <x:f>-F13*('14 Drivers'!$D$42-'14 Drivers'!$D$33)</x:f>
        <x:v>-450</x:v>
      </x:c>
      <x:c r="G14" s="187" t="n">
        <x:f>-G13*('14 Drivers'!$D$42-'14 Drivers'!$D$33)</x:f>
        <x:v>-350</x:v>
      </x:c>
      <x:c r="H14" s="187" t="n">
        <x:f>-H13*('14 Drivers'!$D$42-'14 Drivers'!$D$33)</x:f>
        <x:v>-275</x:v>
      </x:c>
      <x:c r="I14" s="187" t="n">
        <x:f>-I13*('14 Drivers'!$D$42-'14 Drivers'!$D$33)</x:f>
        <x:v>-50</x:v>
      </x:c>
      <x:c r="J14" s="187" t="n">
        <x:f>-J13*('14 Drivers'!$D$42-'14 Drivers'!$D$33)</x:f>
        <x:v>-25</x:v>
      </x:c>
      <x:c r="K14" s="187" t="n">
        <x:f>-K13*('14 Drivers'!$D$42-'14 Drivers'!$D$33)</x:f>
        <x:v>0</x:v>
      </x:c>
      <x:c r="L14" s="187" t="n">
        <x:f>-L13*('14 Drivers'!$D$42-'14 Drivers'!$D$33)</x:f>
        <x:v>-770</x:v>
      </x:c>
      <x:c r="M14" s="187" t="n">
        <x:f>-M13*('14 Drivers'!$D$42-'14 Drivers'!$D$33)</x:f>
        <x:v>0</x:v>
      </x:c>
      <x:c r="N14" s="187" t="n">
        <x:f>-N13*('14 Drivers'!$D$42-'14 Drivers'!$D$33)</x:f>
        <x:v>-250</x:v>
      </x:c>
      <x:c r="O14" s="187" t="n">
        <x:f>-O13*('14 Drivers'!$D$42-'14 Drivers'!$D$33)</x:f>
        <x:v>0</x:v>
      </x:c>
      <x:c r="P14" s="185" t="n">
        <x:f>SUM(D14:O14)</x:f>
        <x:v>-2170</x:v>
      </x:c>
      <x:c r="Q14" s="164"/>
      <x:c r="R14" s="188" t="str">
        <x:v>10% total contractor fee. Ordinary 5% already included; add only the difference.</x:v>
      </x:c>
    </x:row>
    <x:row r="15" ht="22" customHeight="1">
      <x:c r="B15" s="183" t="str">
        <x:v>D1 standalone profit effect</x:v>
      </x:c>
      <x:c r="C15" s="183"/>
      <x:c r="D15" s="185" t="n">
        <x:f>SUM(D9,D11,D14)</x:f>
        <x:v>0</x:v>
      </x:c>
      <x:c r="E15" s="185" t="n">
        <x:f>SUM(E9,E11,E14)</x:f>
        <x:v>0</x:v>
      </x:c>
      <x:c r="F15" s="185" t="n">
        <x:f>SUM(F9,F11,F14)</x:f>
        <x:v>1377.5</x:v>
      </x:c>
      <x:c r="G15" s="185" t="n">
        <x:f>SUM(G9,G11,G14)</x:f>
        <x:v>2848.125</x:v>
      </x:c>
      <x:c r="H15" s="185" t="n">
        <x:f>SUM(H9,H11,H14)</x:f>
        <x:v>1095.625</x:v>
      </x:c>
      <x:c r="I15" s="185" t="n">
        <x:f>SUM(I9,I11,I14)</x:f>
        <x:v>406.875</x:v>
      </x:c>
      <x:c r="J15" s="185" t="n">
        <x:f>SUM(J9,J11,J14)</x:f>
        <x:v>189.4375</x:v>
      </x:c>
      <x:c r="K15" s="185" t="n">
        <x:f>SUM(K9,K11,K14)</x:f>
        <x:v>0</x:v>
      </x:c>
      <x:c r="L15" s="185" t="n">
        <x:f>SUM(L9,L11,L14)</x:f>
        <x:v>-770</x:v>
      </x:c>
      <x:c r="M15" s="185" t="n">
        <x:f>SUM(M9,M11,M14)</x:f>
        <x:v>0</x:v>
      </x:c>
      <x:c r="N15" s="185" t="n">
        <x:f>SUM(N9,N11,N14)</x:f>
        <x:v>-250</x:v>
      </x:c>
      <x:c r="O15" s="185" t="n">
        <x:f>SUM(O9,O11,O14)</x:f>
        <x:v>0</x:v>
      </x:c>
      <x:c r="P15" s="185" t="n">
        <x:f>SUM(D15:O15)</x:f>
        <x:v>4897.5625</x:v>
      </x:c>
      <x:c r="Q15" s="164"/>
      <x:c r="R15" s="164"/>
    </x:row>
    <x:row r="16" ht="22" customHeight="1">
      <x:c r="B16" s="164"/>
      <x:c r="C16" s="164"/>
      <x:c r="D16" s="174"/>
      <x:c r="E16" s="174"/>
      <x:c r="F16" s="174"/>
      <x:c r="G16" s="174"/>
      <x:c r="H16" s="174"/>
      <x:c r="I16" s="174"/>
      <x:c r="J16" s="174"/>
      <x:c r="K16" s="174"/>
      <x:c r="L16" s="174"/>
      <x:c r="M16" s="174"/>
      <x:c r="N16" s="174"/>
      <x:c r="O16" s="174"/>
      <x:c r="P16" s="174"/>
      <x:c r="Q16" s="164"/>
      <x:c r="R16" s="164"/>
    </x:row>
    <x:row r="17" ht="22" customHeight="1">
      <x:c r="B17" s="164" t="str">
        <x:v>D2 additional premium open seats</x:v>
      </x:c>
      <x:c r="C17" s="164"/>
      <x:c r="D17" s="196" t="n">
        <x:f>MIN('14 Drivers'!D13*'14 Drivers'!$D$45,'15 P1 Workings'!D35)</x:f>
        <x:v>0</x:v>
      </x:c>
      <x:c r="E17" s="196" t="n">
        <x:f>MIN('14 Drivers'!E13*'14 Drivers'!$D$45,'15 P1 Workings'!E35)</x:f>
        <x:v>14</x:v>
      </x:c>
      <x:c r="F17" s="196" t="n">
        <x:f>MIN('14 Drivers'!F13*'14 Drivers'!$D$45,'15 P1 Workings'!F35)</x:f>
        <x:v>0</x:v>
      </x:c>
      <x:c r="G17" s="196" t="n">
        <x:f>MIN('14 Drivers'!G13*'14 Drivers'!$D$45,'15 P1 Workings'!G35)</x:f>
        <x:v>13</x:v>
      </x:c>
      <x:c r="H17" s="196" t="n">
        <x:f>MIN('14 Drivers'!H13*'14 Drivers'!$D$45,'15 P1 Workings'!H35)</x:f>
        <x:v>0</x:v>
      </x:c>
      <x:c r="I17" s="196" t="n">
        <x:f>MIN('14 Drivers'!I13*'14 Drivers'!$D$45,'15 P1 Workings'!I35)</x:f>
        <x:v>13</x:v>
      </x:c>
      <x:c r="J17" s="196" t="n">
        <x:f>MIN('14 Drivers'!J13*'14 Drivers'!$D$45,'15 P1 Workings'!J35)</x:f>
        <x:v>0</x:v>
      </x:c>
      <x:c r="K17" s="196" t="n">
        <x:f>MIN('14 Drivers'!K13*'14 Drivers'!$D$45,'15 P1 Workings'!K35)</x:f>
        <x:v>0</x:v>
      </x:c>
      <x:c r="L17" s="196" t="n">
        <x:f>MIN('14 Drivers'!L13*'14 Drivers'!$D$45,'15 P1 Workings'!L35)</x:f>
        <x:v>0</x:v>
      </x:c>
      <x:c r="M17" s="196" t="n">
        <x:f>MIN('14 Drivers'!M13*'14 Drivers'!$D$45,'15 P1 Workings'!M35)</x:f>
        <x:v>0</x:v>
      </x:c>
      <x:c r="N17" s="196" t="n">
        <x:f>MIN('14 Drivers'!N13*'14 Drivers'!$D$45,'15 P1 Workings'!N35)</x:f>
        <x:v>0</x:v>
      </x:c>
      <x:c r="O17" s="196" t="n">
        <x:f>MIN('14 Drivers'!O13*'14 Drivers'!$D$45,'15 P1 Workings'!O35)</x:f>
        <x:v>15</x:v>
      </x:c>
      <x:c r="P17" s="179" t="n">
        <x:f>SUM(D17:O17)</x:f>
        <x:v>55</x:v>
      </x:c>
      <x:c r="Q17" s="164"/>
      <x:c r="R17" s="188" t="str">
        <x:v>D2: unserved demand, capacity 20, new dates Feb/Apr/Jun/Dec. Premium willingness unverified.</x:v>
      </x:c>
    </x:row>
    <x:row r="18" ht="22" customHeight="1">
      <x:c r="B18" s="183" t="str">
        <x:v>D2 additional premium open revenue</x:v>
      </x:c>
      <x:c r="C18" s="183"/>
      <x:c r="D18" s="187" t="n">
        <x:f>D17*'14 Drivers'!$D$48</x:f>
        <x:v>0</x:v>
      </x:c>
      <x:c r="E18" s="187" t="n">
        <x:f>E17*'14 Drivers'!$D$48</x:f>
        <x:v>8400</x:v>
      </x:c>
      <x:c r="F18" s="187" t="n">
        <x:f>F17*'14 Drivers'!$D$48</x:f>
        <x:v>0</x:v>
      </x:c>
      <x:c r="G18" s="187" t="n">
        <x:f>G17*'14 Drivers'!$D$48</x:f>
        <x:v>7800</x:v>
      </x:c>
      <x:c r="H18" s="187" t="n">
        <x:f>H17*'14 Drivers'!$D$48</x:f>
        <x:v>0</x:v>
      </x:c>
      <x:c r="I18" s="187" t="n">
        <x:f>I17*'14 Drivers'!$D$48</x:f>
        <x:v>7800</x:v>
      </x:c>
      <x:c r="J18" s="187" t="n">
        <x:f>J17*'14 Drivers'!$D$48</x:f>
        <x:v>0</x:v>
      </x:c>
      <x:c r="K18" s="187" t="n">
        <x:f>K17*'14 Drivers'!$D$48</x:f>
        <x:v>0</x:v>
      </x:c>
      <x:c r="L18" s="187" t="n">
        <x:f>L17*'14 Drivers'!$D$48</x:f>
        <x:v>0</x:v>
      </x:c>
      <x:c r="M18" s="187" t="n">
        <x:f>M17*'14 Drivers'!$D$48</x:f>
        <x:v>0</x:v>
      </x:c>
      <x:c r="N18" s="187" t="n">
        <x:f>N17*'14 Drivers'!$D$48</x:f>
        <x:v>0</x:v>
      </x:c>
      <x:c r="O18" s="187" t="n">
        <x:f>O17*'14 Drivers'!$D$48</x:f>
        <x:v>9000</x:v>
      </x:c>
      <x:c r="P18" s="185" t="n">
        <x:f>SUM(D18:O18)</x:f>
        <x:v>33000</x:v>
      </x:c>
      <x:c r="Q18" s="164"/>
      <x:c r="R18" s="164"/>
    </x:row>
    <x:row r="19" ht="22" customHeight="1">
      <x:c r="B19" s="164" t="str">
        <x:v>D2 additional open delivery days</x:v>
      </x:c>
      <x:c r="C19" s="164"/>
      <x:c r="D19" s="194" t="n">
        <x:f>'14 Drivers'!D13*'14 Drivers'!$D$49</x:f>
        <x:v>0</x:v>
      </x:c>
      <x:c r="E19" s="194" t="n">
        <x:f>'14 Drivers'!E13*'14 Drivers'!$D$49</x:f>
        <x:v>2</x:v>
      </x:c>
      <x:c r="F19" s="194" t="n">
        <x:f>'14 Drivers'!F13*'14 Drivers'!$D$49</x:f>
        <x:v>0</x:v>
      </x:c>
      <x:c r="G19" s="194" t="n">
        <x:f>'14 Drivers'!G13*'14 Drivers'!$D$49</x:f>
        <x:v>2</x:v>
      </x:c>
      <x:c r="H19" s="194" t="n">
        <x:f>'14 Drivers'!H13*'14 Drivers'!$D$49</x:f>
        <x:v>0</x:v>
      </x:c>
      <x:c r="I19" s="194" t="n">
        <x:f>'14 Drivers'!I13*'14 Drivers'!$D$49</x:f>
        <x:v>2</x:v>
      </x:c>
      <x:c r="J19" s="194" t="n">
        <x:f>'14 Drivers'!J13*'14 Drivers'!$D$49</x:f>
        <x:v>0</x:v>
      </x:c>
      <x:c r="K19" s="194" t="n">
        <x:f>'14 Drivers'!K13*'14 Drivers'!$D$49</x:f>
        <x:v>0</x:v>
      </x:c>
      <x:c r="L19" s="194" t="n">
        <x:f>'14 Drivers'!L13*'14 Drivers'!$D$49</x:f>
        <x:v>0</x:v>
      </x:c>
      <x:c r="M19" s="194" t="n">
        <x:f>'14 Drivers'!M13*'14 Drivers'!$D$49</x:f>
        <x:v>0</x:v>
      </x:c>
      <x:c r="N19" s="194" t="n">
        <x:f>'14 Drivers'!N13*'14 Drivers'!$D$49</x:f>
        <x:v>0</x:v>
      </x:c>
      <x:c r="O19" s="194" t="n">
        <x:f>'14 Drivers'!O13*'14 Drivers'!$D$49</x:f>
        <x:v>2</x:v>
      </x:c>
      <x:c r="P19" s="195" t="n">
        <x:f>SUM(D19:O19)</x:f>
        <x:v>8</x:v>
      </x:c>
      <x:c r="Q19" s="164"/>
      <x:c r="R19" s="164"/>
    </x:row>
    <x:row r="20" ht="22" customHeight="1">
      <x:c r="B20" s="164" t="str">
        <x:v>D2 external instructor expense</x:v>
      </x:c>
      <x:c r="C20" s="164"/>
      <x:c r="D20" s="175" t="n">
        <x:f>-D19*'14 Drivers'!D9</x:f>
        <x:v>0</x:v>
      </x:c>
      <x:c r="E20" s="175" t="n">
        <x:f>-E19*'14 Drivers'!E9</x:f>
        <x:v>-1400</x:v>
      </x:c>
      <x:c r="F20" s="175" t="n">
        <x:f>-F19*'14 Drivers'!F9</x:f>
        <x:v>0</x:v>
      </x:c>
      <x:c r="G20" s="175" t="n">
        <x:f>-G19*'14 Drivers'!G9</x:f>
        <x:v>-1400</x:v>
      </x:c>
      <x:c r="H20" s="175" t="n">
        <x:f>-H19*'14 Drivers'!H9</x:f>
        <x:v>0</x:v>
      </x:c>
      <x:c r="I20" s="175" t="n">
        <x:f>-I19*'14 Drivers'!I9</x:f>
        <x:v>-1400</x:v>
      </x:c>
      <x:c r="J20" s="175" t="n">
        <x:f>-J19*'14 Drivers'!J9</x:f>
        <x:v>0</x:v>
      </x:c>
      <x:c r="K20" s="175" t="n">
        <x:f>-K19*'14 Drivers'!K9</x:f>
        <x:v>0</x:v>
      </x:c>
      <x:c r="L20" s="175" t="n">
        <x:f>-L19*'14 Drivers'!L9</x:f>
        <x:v>0</x:v>
      </x:c>
      <x:c r="M20" s="175" t="n">
        <x:f>-M19*'14 Drivers'!M9</x:f>
        <x:v>0</x:v>
      </x:c>
      <x:c r="N20" s="175" t="n">
        <x:f>-N19*'14 Drivers'!N9</x:f>
        <x:v>0</x:v>
      </x:c>
      <x:c r="O20" s="175" t="n">
        <x:f>-O19*'14 Drivers'!O9</x:f>
        <x:v>-1540.0000000000002</x:v>
      </x:c>
      <x:c r="P20" s="174" t="n">
        <x:f>SUM(D20:O20)</x:f>
        <x:v>-5740</x:v>
      </x:c>
      <x:c r="Q20" s="164"/>
      <x:c r="R20" s="164"/>
    </x:row>
    <x:row r="21" ht="22" customHeight="1">
      <x:c r="B21" s="164" t="str">
        <x:v>D2 venue expense</x:v>
      </x:c>
      <x:c r="C21" s="164"/>
      <x:c r="D21" s="175" t="n">
        <x:f>-D19*'14 Drivers'!$D$32</x:f>
        <x:v>0</x:v>
      </x:c>
      <x:c r="E21" s="175" t="n">
        <x:f>-E19*'14 Drivers'!$D$32</x:f>
        <x:v>-1200</x:v>
      </x:c>
      <x:c r="F21" s="175" t="n">
        <x:f>-F19*'14 Drivers'!$D$32</x:f>
        <x:v>0</x:v>
      </x:c>
      <x:c r="G21" s="175" t="n">
        <x:f>-G19*'14 Drivers'!$D$32</x:f>
        <x:v>-1200</x:v>
      </x:c>
      <x:c r="H21" s="175" t="n">
        <x:f>-H19*'14 Drivers'!$D$32</x:f>
        <x:v>0</x:v>
      </x:c>
      <x:c r="I21" s="175" t="n">
        <x:f>-I19*'14 Drivers'!$D$32</x:f>
        <x:v>-1200</x:v>
      </x:c>
      <x:c r="J21" s="175" t="n">
        <x:f>-J19*'14 Drivers'!$D$32</x:f>
        <x:v>0</x:v>
      </x:c>
      <x:c r="K21" s="175" t="n">
        <x:f>-K19*'14 Drivers'!$D$32</x:f>
        <x:v>0</x:v>
      </x:c>
      <x:c r="L21" s="175" t="n">
        <x:f>-L19*'14 Drivers'!$D$32</x:f>
        <x:v>0</x:v>
      </x:c>
      <x:c r="M21" s="175" t="n">
        <x:f>-M19*'14 Drivers'!$D$32</x:f>
        <x:v>0</x:v>
      </x:c>
      <x:c r="N21" s="175" t="n">
        <x:f>-N19*'14 Drivers'!$D$32</x:f>
        <x:v>0</x:v>
      </x:c>
      <x:c r="O21" s="175" t="n">
        <x:f>-O19*'14 Drivers'!$D$32</x:f>
        <x:v>-1200</x:v>
      </x:c>
      <x:c r="P21" s="174" t="n">
        <x:f>SUM(D21:O21)</x:f>
        <x:v>-4800</x:v>
      </x:c>
      <x:c r="Q21" s="164"/>
      <x:c r="R21" s="164"/>
    </x:row>
    <x:row r="22" ht="22" customHeight="1">
      <x:c r="B22" s="164" t="str">
        <x:v>D2 materials expense</x:v>
      </x:c>
      <x:c r="C22" s="164"/>
      <x:c r="D22" s="175" t="n">
        <x:f>-D17*'14 Drivers'!$D$49*'14 Drivers'!$D$31</x:f>
        <x:v>0</x:v>
      </x:c>
      <x:c r="E22" s="175" t="n">
        <x:f>-E17*'14 Drivers'!$D$49*'14 Drivers'!$D$31</x:f>
        <x:v>-420</x:v>
      </x:c>
      <x:c r="F22" s="175" t="n">
        <x:f>-F17*'14 Drivers'!$D$49*'14 Drivers'!$D$31</x:f>
        <x:v>0</x:v>
      </x:c>
      <x:c r="G22" s="175" t="n">
        <x:f>-G17*'14 Drivers'!$D$49*'14 Drivers'!$D$31</x:f>
        <x:v>-390</x:v>
      </x:c>
      <x:c r="H22" s="175" t="n">
        <x:f>-H17*'14 Drivers'!$D$49*'14 Drivers'!$D$31</x:f>
        <x:v>0</x:v>
      </x:c>
      <x:c r="I22" s="175" t="n">
        <x:f>-I17*'14 Drivers'!$D$49*'14 Drivers'!$D$31</x:f>
        <x:v>-390</x:v>
      </x:c>
      <x:c r="J22" s="175" t="n">
        <x:f>-J17*'14 Drivers'!$D$49*'14 Drivers'!$D$31</x:f>
        <x:v>0</x:v>
      </x:c>
      <x:c r="K22" s="175" t="n">
        <x:f>-K17*'14 Drivers'!$D$49*'14 Drivers'!$D$31</x:f>
        <x:v>0</x:v>
      </x:c>
      <x:c r="L22" s="175" t="n">
        <x:f>-L17*'14 Drivers'!$D$49*'14 Drivers'!$D$31</x:f>
        <x:v>0</x:v>
      </x:c>
      <x:c r="M22" s="175" t="n">
        <x:f>-M17*'14 Drivers'!$D$49*'14 Drivers'!$D$31</x:f>
        <x:v>0</x:v>
      </x:c>
      <x:c r="N22" s="175" t="n">
        <x:f>-N17*'14 Drivers'!$D$49*'14 Drivers'!$D$31</x:f>
        <x:v>0</x:v>
      </x:c>
      <x:c r="O22" s="175" t="n">
        <x:f>-O17*'14 Drivers'!$D$49*'14 Drivers'!$D$31</x:f>
        <x:v>-450</x:v>
      </x:c>
      <x:c r="P22" s="174" t="n">
        <x:f>SUM(D22:O22)</x:f>
        <x:v>-1650</x:v>
      </x:c>
      <x:c r="Q22" s="164"/>
      <x:c r="R22" s="164"/>
    </x:row>
    <x:row r="23" ht="22" customHeight="1">
      <x:c r="B23" s="164" t="str">
        <x:v>D2 ordinary commission</x:v>
      </x:c>
      <x:c r="C23" s="164"/>
      <x:c r="D23" s="175" t="n">
        <x:f>-D18*'14 Drivers'!$D$33</x:f>
        <x:v>0</x:v>
      </x:c>
      <x:c r="E23" s="175" t="n">
        <x:f>-E18*'14 Drivers'!$D$33</x:f>
        <x:v>-420</x:v>
      </x:c>
      <x:c r="F23" s="175" t="n">
        <x:f>-F18*'14 Drivers'!$D$33</x:f>
        <x:v>0</x:v>
      </x:c>
      <x:c r="G23" s="175" t="n">
        <x:f>-G18*'14 Drivers'!$D$33</x:f>
        <x:v>-390</x:v>
      </x:c>
      <x:c r="H23" s="175" t="n">
        <x:f>-H18*'14 Drivers'!$D$33</x:f>
        <x:v>0</x:v>
      </x:c>
      <x:c r="I23" s="175" t="n">
        <x:f>-I18*'14 Drivers'!$D$33</x:f>
        <x:v>-390</x:v>
      </x:c>
      <x:c r="J23" s="175" t="n">
        <x:f>-J18*'14 Drivers'!$D$33</x:f>
        <x:v>0</x:v>
      </x:c>
      <x:c r="K23" s="175" t="n">
        <x:f>-K18*'14 Drivers'!$D$33</x:f>
        <x:v>0</x:v>
      </x:c>
      <x:c r="L23" s="175" t="n">
        <x:f>-L18*'14 Drivers'!$D$33</x:f>
        <x:v>0</x:v>
      </x:c>
      <x:c r="M23" s="175" t="n">
        <x:f>-M18*'14 Drivers'!$D$33</x:f>
        <x:v>0</x:v>
      </x:c>
      <x:c r="N23" s="175" t="n">
        <x:f>-N18*'14 Drivers'!$D$33</x:f>
        <x:v>0</x:v>
      </x:c>
      <x:c r="O23" s="175" t="n">
        <x:f>-O18*'14 Drivers'!$D$33</x:f>
        <x:v>-450</x:v>
      </x:c>
      <x:c r="P23" s="174" t="n">
        <x:f>SUM(D23:O23)</x:f>
        <x:v>-1650</x:v>
      </x:c>
      <x:c r="Q23" s="164"/>
      <x:c r="R23" s="164"/>
    </x:row>
    <x:row r="24" ht="22" customHeight="1">
      <x:c r="B24" s="183" t="str">
        <x:v>D2 new open direct costs</x:v>
      </x:c>
      <x:c r="C24" s="183"/>
      <x:c r="D24" s="185" t="n">
        <x:f>SUM(D20:D23)</x:f>
        <x:v>0</x:v>
      </x:c>
      <x:c r="E24" s="185" t="n">
        <x:f>SUM(E20:E23)</x:f>
        <x:v>-3440</x:v>
      </x:c>
      <x:c r="F24" s="185" t="n">
        <x:f>SUM(F20:F23)</x:f>
        <x:v>0</x:v>
      </x:c>
      <x:c r="G24" s="185" t="n">
        <x:f>SUM(G20:G23)</x:f>
        <x:v>-3380</x:v>
      </x:c>
      <x:c r="H24" s="185" t="n">
        <x:f>SUM(H20:H23)</x:f>
        <x:v>0</x:v>
      </x:c>
      <x:c r="I24" s="185" t="n">
        <x:f>SUM(I20:I23)</x:f>
        <x:v>-3380</x:v>
      </x:c>
      <x:c r="J24" s="185" t="n">
        <x:f>SUM(J20:J23)</x:f>
        <x:v>0</x:v>
      </x:c>
      <x:c r="K24" s="185" t="n">
        <x:f>SUM(K20:K23)</x:f>
        <x:v>0</x:v>
      </x:c>
      <x:c r="L24" s="185" t="n">
        <x:f>SUM(L20:L23)</x:f>
        <x:v>0</x:v>
      </x:c>
      <x:c r="M24" s="185" t="n">
        <x:f>SUM(M20:M23)</x:f>
        <x:v>0</x:v>
      </x:c>
      <x:c r="N24" s="185" t="n">
        <x:f>SUM(N20:N23)</x:f>
        <x:v>0</x:v>
      </x:c>
      <x:c r="O24" s="185" t="n">
        <x:f>SUM(O20:O23)</x:f>
        <x:v>-3640</x:v>
      </x:c>
      <x:c r="P24" s="185" t="n">
        <x:f>SUM(D24:O24)</x:f>
        <x:v>-13840</x:v>
      </x:c>
      <x:c r="Q24" s="164"/>
      <x:c r="R24" s="164"/>
    </x:row>
    <x:row r="25" ht="22" customHeight="1">
      <x:c r="B25" s="164" t="str">
        <x:v>D2 setup operating expense</x:v>
      </x:c>
      <x:c r="C25" s="164"/>
      <x:c r="D25" s="175" t="n">
        <x:f>-'14 Drivers'!D14</x:f>
        <x:v>-1000</x:v>
      </x:c>
      <x:c r="E25" s="175" t="n">
        <x:f>-'14 Drivers'!E14</x:f>
        <x:v>0</x:v>
      </x:c>
      <x:c r="F25" s="175" t="n">
        <x:f>-'14 Drivers'!F14</x:f>
        <x:v>0</x:v>
      </x:c>
      <x:c r="G25" s="175" t="n">
        <x:f>-'14 Drivers'!G14</x:f>
        <x:v>0</x:v>
      </x:c>
      <x:c r="H25" s="175" t="n">
        <x:f>-'14 Drivers'!H14</x:f>
        <x:v>0</x:v>
      </x:c>
      <x:c r="I25" s="175" t="n">
        <x:f>-'14 Drivers'!I14</x:f>
        <x:v>0</x:v>
      </x:c>
      <x:c r="J25" s="175" t="n">
        <x:f>-'14 Drivers'!J14</x:f>
        <x:v>0</x:v>
      </x:c>
      <x:c r="K25" s="175" t="n">
        <x:f>-'14 Drivers'!K14</x:f>
        <x:v>0</x:v>
      </x:c>
      <x:c r="L25" s="175" t="n">
        <x:f>-'14 Drivers'!L14</x:f>
        <x:v>0</x:v>
      </x:c>
      <x:c r="M25" s="175" t="n">
        <x:f>-'14 Drivers'!M14</x:f>
        <x:v>0</x:v>
      </x:c>
      <x:c r="N25" s="175" t="n">
        <x:f>-'14 Drivers'!N14</x:f>
        <x:v>0</x:v>
      </x:c>
      <x:c r="O25" s="175" t="n">
        <x:f>-'14 Drivers'!O14</x:f>
        <x:v>0</x:v>
      </x:c>
      <x:c r="P25" s="174" t="n">
        <x:f>SUM(D25:O25)</x:f>
        <x:v>-1000</x:v>
      </x:c>
      <x:c r="Q25" s="164"/>
      <x:c r="R25" s="164"/>
    </x:row>
    <x:row r="26" ht="22" customHeight="1">
      <x:c r="B26" s="183" t="str">
        <x:v>D2 standalone profit effect</x:v>
      </x:c>
      <x:c r="C26" s="183"/>
      <x:c r="D26" s="185" t="n">
        <x:f>SUM(D18,D24,D25)</x:f>
        <x:v>-1000</x:v>
      </x:c>
      <x:c r="E26" s="185" t="n">
        <x:f>SUM(E18,E24,E25)</x:f>
        <x:v>4960</x:v>
      </x:c>
      <x:c r="F26" s="185" t="n">
        <x:f>SUM(F18,F24,F25)</x:f>
        <x:v>0</x:v>
      </x:c>
      <x:c r="G26" s="185" t="n">
        <x:f>SUM(G18,G24,G25)</x:f>
        <x:v>4420</x:v>
      </x:c>
      <x:c r="H26" s="185" t="n">
        <x:f>SUM(H18,H24,H25)</x:f>
        <x:v>0</x:v>
      </x:c>
      <x:c r="I26" s="185" t="n">
        <x:f>SUM(I18,I24,I25)</x:f>
        <x:v>4420</x:v>
      </x:c>
      <x:c r="J26" s="185" t="n">
        <x:f>SUM(J18,J24,J25)</x:f>
        <x:v>0</x:v>
      </x:c>
      <x:c r="K26" s="185" t="n">
        <x:f>SUM(K18,K24,K25)</x:f>
        <x:v>0</x:v>
      </x:c>
      <x:c r="L26" s="185" t="n">
        <x:f>SUM(L18,L24,L25)</x:f>
        <x:v>0</x:v>
      </x:c>
      <x:c r="M26" s="185" t="n">
        <x:f>SUM(M18,M24,M25)</x:f>
        <x:v>0</x:v>
      </x:c>
      <x:c r="N26" s="185" t="n">
        <x:f>SUM(N18,N24,N25)</x:f>
        <x:v>0</x:v>
      </x:c>
      <x:c r="O26" s="185" t="n">
        <x:f>SUM(O18,O24,O25)</x:f>
        <x:v>5360</x:v>
      </x:c>
      <x:c r="P26" s="185" t="n">
        <x:f>SUM(D26:O26)</x:f>
        <x:v>18160</x:v>
      </x:c>
      <x:c r="Q26" s="164"/>
      <x:c r="R26" s="164"/>
    </x:row>
    <x:row r="27" ht="22" customHeight="1">
      <x:c r="B27" s="164"/>
      <x:c r="C27" s="164"/>
      <x:c r="D27" s="174"/>
      <x:c r="E27" s="174"/>
      <x:c r="F27" s="174"/>
      <x:c r="G27" s="174"/>
      <x:c r="H27" s="174"/>
      <x:c r="I27" s="174"/>
      <x:c r="J27" s="174"/>
      <x:c r="K27" s="174"/>
      <x:c r="L27" s="174"/>
      <x:c r="M27" s="174"/>
      <x:c r="N27" s="174"/>
      <x:c r="O27" s="174"/>
      <x:c r="P27" s="174"/>
      <x:c r="Q27" s="164"/>
      <x:c r="R27" s="164"/>
    </x:row>
    <x:row r="28" ht="22" customHeight="1">
      <x:c r="B28" s="183" t="str">
        <x:v>Combined lead-instructor days required</x:v>
      </x:c>
      <x:c r="C28" s="183"/>
      <x:c r="D28" s="197" t="n">
        <x:f>SUM('15 P1 Workings'!D39,D10,D19)</x:f>
        <x:v>15.8</x:v>
      </x:c>
      <x:c r="E28" s="197" t="n">
        <x:f>SUM('15 P1 Workings'!E39,E10,E19)</x:f>
        <x:v>16</x:v>
      </x:c>
      <x:c r="F28" s="197" t="n">
        <x:f>SUM('15 P1 Workings'!F39,F10,F19)</x:f>
        <x:v>14.6</x:v>
      </x:c>
      <x:c r="G28" s="197" t="n">
        <x:f>SUM('15 P1 Workings'!G39,G10,G19)</x:f>
        <x:v>15.98</x:v>
      </x:c>
      <x:c r="H28" s="197" t="n">
        <x:f>SUM('15 P1 Workings'!H39,H10,H19)</x:f>
        <x:v>13.2</x:v>
      </x:c>
      <x:c r="I28" s="197" t="n">
        <x:f>SUM('15 P1 Workings'!I39,I10,I19)</x:f>
        <x:v>7.800000000000001</x:v>
      </x:c>
      <x:c r="J28" s="197" t="n">
        <x:f>SUM('15 P1 Workings'!J39,J10,J19)</x:f>
        <x:v>4.7</x:v>
      </x:c>
      <x:c r="K28" s="197" t="n">
        <x:f>SUM('15 P1 Workings'!K39,K10,K19)</x:f>
        <x:v>12</x:v>
      </x:c>
      <x:c r="L28" s="197" t="n">
        <x:f>SUM('15 P1 Workings'!L39,L10,L19)</x:f>
        <x:v>17</x:v>
      </x:c>
      <x:c r="M28" s="197" t="n">
        <x:f>SUM('15 P1 Workings'!M39,M10,M19)</x:f>
        <x:v>21.22</x:v>
      </x:c>
      <x:c r="N28" s="197" t="n">
        <x:f>SUM('15 P1 Workings'!N39,N10,N19)</x:f>
        <x:v>9.879999999999999</x:v>
      </x:c>
      <x:c r="O28" s="197" t="n">
        <x:f>SUM('15 P1 Workings'!O39,O10,O19)</x:f>
        <x:v>14</x:v>
      </x:c>
      <x:c r="P28" s="198" t="n">
        <x:f>SUM(D28:O28)</x:f>
        <x:v>162.18</x:v>
      </x:c>
      <x:c r="Q28" s="164"/>
      <x:c r="R28" s="164"/>
    </x:row>
    <x:row r="29" ht="22" customHeight="1">
      <x:c r="B29" s="164" t="str">
        <x:v>Internal senior source availability</x:v>
      </x:c>
      <x:c r="C29" s="164"/>
      <x:c r="D29" s="194" t="n">
        <x:f>'14 Drivers'!D10</x:f>
        <x:v>12</x:v>
      </x:c>
      <x:c r="E29" s="194" t="n">
        <x:f>'14 Drivers'!E10</x:f>
        <x:v>12</x:v>
      </x:c>
      <x:c r="F29" s="194" t="n">
        <x:f>'14 Drivers'!F10</x:f>
        <x:v>12</x:v>
      </x:c>
      <x:c r="G29" s="194" t="n">
        <x:f>'14 Drivers'!G10</x:f>
        <x:v>12</x:v>
      </x:c>
      <x:c r="H29" s="194" t="n">
        <x:f>'14 Drivers'!H10</x:f>
        <x:v>12</x:v>
      </x:c>
      <x:c r="I29" s="194" t="n">
        <x:f>'14 Drivers'!I10</x:f>
        <x:v>12</x:v>
      </x:c>
      <x:c r="J29" s="194" t="n">
        <x:f>'14 Drivers'!J10</x:f>
        <x:v>6</x:v>
      </x:c>
      <x:c r="K29" s="194" t="n">
        <x:f>'14 Drivers'!K10</x:f>
        <x:v>8</x:v>
      </x:c>
      <x:c r="L29" s="194" t="n">
        <x:f>'14 Drivers'!L10</x:f>
        <x:v>14</x:v>
      </x:c>
      <x:c r="M29" s="194" t="n">
        <x:f>'14 Drivers'!M10</x:f>
        <x:v>14</x:v>
      </x:c>
      <x:c r="N29" s="194" t="n">
        <x:f>'14 Drivers'!N10</x:f>
        <x:v>12</x:v>
      </x:c>
      <x:c r="O29" s="194" t="n">
        <x:f>'14 Drivers'!O10</x:f>
        <x:v>12</x:v>
      </x:c>
      <x:c r="P29" s="195" t="n">
        <x:f>SUM(D29:O29)</x:f>
        <x:v>138</x:v>
      </x:c>
      <x:c r="Q29" s="164"/>
      <x:c r="R29" s="164"/>
    </x:row>
    <x:row r="30" ht="22" customHeight="1">
      <x:c r="B30" s="164" t="str">
        <x:v>Reserved internal days</x:v>
      </x:c>
      <x:c r="C30" s="164"/>
      <x:c r="D30" s="194" t="n">
        <x:f>'14 Drivers'!D11</x:f>
        <x:v>2</x:v>
      </x:c>
      <x:c r="E30" s="194" t="n">
        <x:f>'14 Drivers'!E11</x:f>
        <x:v>2</x:v>
      </x:c>
      <x:c r="F30" s="194" t="n">
        <x:f>'14 Drivers'!F11</x:f>
        <x:v>2</x:v>
      </x:c>
      <x:c r="G30" s="194" t="n">
        <x:f>'14 Drivers'!G11</x:f>
        <x:v>2</x:v>
      </x:c>
      <x:c r="H30" s="194" t="n">
        <x:f>'14 Drivers'!H11</x:f>
        <x:v>2</x:v>
      </x:c>
      <x:c r="I30" s="194" t="n">
        <x:f>'14 Drivers'!I11</x:f>
        <x:v>2</x:v>
      </x:c>
      <x:c r="J30" s="194" t="n">
        <x:f>'14 Drivers'!J11</x:f>
        <x:v>2</x:v>
      </x:c>
      <x:c r="K30" s="194" t="n">
        <x:f>'14 Drivers'!K11</x:f>
        <x:v>2</x:v>
      </x:c>
      <x:c r="L30" s="194" t="n">
        <x:f>'14 Drivers'!L11</x:f>
        <x:v>2</x:v>
      </x:c>
      <x:c r="M30" s="194" t="n">
        <x:f>'14 Drivers'!M11</x:f>
        <x:v>2</x:v>
      </x:c>
      <x:c r="N30" s="194" t="n">
        <x:f>'14 Drivers'!N11</x:f>
        <x:v>2</x:v>
      </x:c>
      <x:c r="O30" s="194" t="n">
        <x:f>'14 Drivers'!O11</x:f>
        <x:v>2</x:v>
      </x:c>
      <x:c r="P30" s="195" t="n">
        <x:f>SUM(D30:O30)</x:f>
        <x:v>24</x:v>
      </x:c>
      <x:c r="Q30" s="164"/>
      <x:c r="R30" s="164"/>
    </x:row>
    <x:row r="31" ht="22" customHeight="1">
      <x:c r="B31" s="183" t="str">
        <x:v>D3 internal senior days allocated</x:v>
      </x:c>
      <x:c r="C31" s="183"/>
      <x:c r="D31" s="197" t="n">
        <x:f>IF('14 Drivers'!D12=1,MIN(D28,MAX(0,D29-D30)),0)</x:f>
        <x:v>0</x:v>
      </x:c>
      <x:c r="E31" s="197" t="n">
        <x:f>IF('14 Drivers'!E12=1,MIN(E28,MAX(0,E29-E30)),0)</x:f>
        <x:v>0</x:v>
      </x:c>
      <x:c r="F31" s="197" t="n">
        <x:f>IF('14 Drivers'!F12=1,MIN(F28,MAX(0,F29-F30)),0)</x:f>
        <x:v>10</x:v>
      </x:c>
      <x:c r="G31" s="197" t="n">
        <x:f>IF('14 Drivers'!G12=1,MIN(G28,MAX(0,G29-G30)),0)</x:f>
        <x:v>10</x:v>
      </x:c>
      <x:c r="H31" s="197" t="n">
        <x:f>IF('14 Drivers'!H12=1,MIN(H28,MAX(0,H29-H30)),0)</x:f>
        <x:v>10</x:v>
      </x:c>
      <x:c r="I31" s="197" t="n">
        <x:f>IF('14 Drivers'!I12=1,MIN(I28,MAX(0,I29-I30)),0)</x:f>
        <x:v>7.800000000000001</x:v>
      </x:c>
      <x:c r="J31" s="197" t="n">
        <x:f>IF('14 Drivers'!J12=1,MIN(J28,MAX(0,J29-J30)),0)</x:f>
        <x:v>4</x:v>
      </x:c>
      <x:c r="K31" s="197" t="n">
        <x:f>IF('14 Drivers'!K12=1,MIN(K28,MAX(0,K29-K30)),0)</x:f>
        <x:v>6</x:v>
      </x:c>
      <x:c r="L31" s="197" t="n">
        <x:f>IF('14 Drivers'!L12=1,MIN(L28,MAX(0,L29-L30)),0)</x:f>
        <x:v>12</x:v>
      </x:c>
      <x:c r="M31" s="197" t="n">
        <x:f>IF('14 Drivers'!M12=1,MIN(M28,MAX(0,M29-M30)),0)</x:f>
        <x:v>12</x:v>
      </x:c>
      <x:c r="N31" s="197" t="n">
        <x:f>IF('14 Drivers'!N12=1,MIN(N28,MAX(0,N29-N30)),0)</x:f>
        <x:v>9.879999999999999</x:v>
      </x:c>
      <x:c r="O31" s="197" t="n">
        <x:f>IF('14 Drivers'!O12=1,MIN(O28,MAX(0,O29-O30)),0)</x:f>
        <x:v>10</x:v>
      </x:c>
      <x:c r="P31" s="198" t="n">
        <x:f>SUM(D31:O31)</x:f>
        <x:v>91.67999999999999</x:v>
      </x:c>
      <x:c r="Q31" s="164"/>
      <x:c r="R31" s="188" t="str">
        <x:v>D3: trained senior, source salary assumption, competence and date availability required.</x:v>
      </x:c>
    </x:row>
    <x:row r="32" ht="22" customHeight="1">
      <x:c r="B32" s="164" t="str">
        <x:v>D3 loaded allowance per delivery day</x:v>
      </x:c>
      <x:c r="C32" s="164"/>
      <x:c r="D32" s="175" t="n">
        <x:f>'14 Drivers'!$D$43*(1+'14 Drivers'!$D$53)</x:f>
        <x:v>187.5</x:v>
      </x:c>
      <x:c r="E32" s="175" t="n">
        <x:f>'14 Drivers'!$D$43*(1+'14 Drivers'!$D$53)</x:f>
        <x:v>187.5</x:v>
      </x:c>
      <x:c r="F32" s="175" t="n">
        <x:f>'14 Drivers'!$D$43*(1+'14 Drivers'!$D$53)</x:f>
        <x:v>187.5</x:v>
      </x:c>
      <x:c r="G32" s="175" t="n">
        <x:f>'14 Drivers'!$D$43*(1+'14 Drivers'!$D$53)</x:f>
        <x:v>187.5</x:v>
      </x:c>
      <x:c r="H32" s="175" t="n">
        <x:f>'14 Drivers'!$D$43*(1+'14 Drivers'!$D$53)</x:f>
        <x:v>187.5</x:v>
      </x:c>
      <x:c r="I32" s="175" t="n">
        <x:f>'14 Drivers'!$D$43*(1+'14 Drivers'!$D$53)</x:f>
        <x:v>187.5</x:v>
      </x:c>
      <x:c r="J32" s="175" t="n">
        <x:f>'14 Drivers'!$D$43*(1+'14 Drivers'!$D$53)</x:f>
        <x:v>187.5</x:v>
      </x:c>
      <x:c r="K32" s="175" t="n">
        <x:f>'14 Drivers'!$D$43*(1+'14 Drivers'!$D$53)</x:f>
        <x:v>187.5</x:v>
      </x:c>
      <x:c r="L32" s="175" t="n">
        <x:f>'14 Drivers'!$D$43*(1+'14 Drivers'!$D$53)</x:f>
        <x:v>187.5</x:v>
      </x:c>
      <x:c r="M32" s="175" t="n">
        <x:f>'14 Drivers'!$D$43*(1+'14 Drivers'!$D$53)</x:f>
        <x:v>187.5</x:v>
      </x:c>
      <x:c r="N32" s="175" t="n">
        <x:f>'14 Drivers'!$D$43*(1+'14 Drivers'!$D$53)</x:f>
        <x:v>187.5</x:v>
      </x:c>
      <x:c r="O32" s="175" t="n">
        <x:f>'14 Drivers'!$D$43*(1+'14 Drivers'!$D$53)</x:f>
        <x:v>187.5</x:v>
      </x:c>
      <x:c r="P32" s="174"/>
      <x:c r="Q32" s="164"/>
      <x:c r="R32" s="188" t="str">
        <x:v>EUR 150 gross allowance plus 25% assumed burden = EUR 187.50 per day.</x:v>
      </x:c>
    </x:row>
    <x:row r="33" ht="22" customHeight="1">
      <x:c r="B33" s="164" t="str">
        <x:v>D3 external instructor cost avoided</x:v>
      </x:c>
      <x:c r="C33" s="164"/>
      <x:c r="D33" s="175" t="n">
        <x:f>D31*'14 Drivers'!D9</x:f>
        <x:v>0</x:v>
      </x:c>
      <x:c r="E33" s="175" t="n">
        <x:f>E31*'14 Drivers'!E9</x:f>
        <x:v>0</x:v>
      </x:c>
      <x:c r="F33" s="175" t="n">
        <x:f>F31*'14 Drivers'!F9</x:f>
        <x:v>7000</x:v>
      </x:c>
      <x:c r="G33" s="175" t="n">
        <x:f>G31*'14 Drivers'!G9</x:f>
        <x:v>7000</x:v>
      </x:c>
      <x:c r="H33" s="175" t="n">
        <x:f>H31*'14 Drivers'!H9</x:f>
        <x:v>7000</x:v>
      </x:c>
      <x:c r="I33" s="175" t="n">
        <x:f>I31*'14 Drivers'!I9</x:f>
        <x:v>5460.000000000001</x:v>
      </x:c>
      <x:c r="J33" s="175" t="n">
        <x:f>J31*'14 Drivers'!J9</x:f>
        <x:v>3080.0000000000005</x:v>
      </x:c>
      <x:c r="K33" s="175" t="n">
        <x:f>K31*'14 Drivers'!K9</x:f>
        <x:v>4620.000000000001</x:v>
      </x:c>
      <x:c r="L33" s="175" t="n">
        <x:f>L31*'14 Drivers'!L9</x:f>
        <x:v>9240.000000000002</x:v>
      </x:c>
      <x:c r="M33" s="175" t="n">
        <x:f>M31*'14 Drivers'!M9</x:f>
        <x:v>9240.000000000002</x:v>
      </x:c>
      <x:c r="N33" s="175" t="n">
        <x:f>N31*'14 Drivers'!N9</x:f>
        <x:v>7607.6</x:v>
      </x:c>
      <x:c r="O33" s="175" t="n">
        <x:f>O31*'14 Drivers'!O9</x:f>
        <x:v>7700.000000000001</x:v>
      </x:c>
      <x:c r="P33" s="174" t="n">
        <x:f>SUM(D33:O33)</x:f>
        <x:v>67947.6</x:v>
      </x:c>
      <x:c r="Q33" s="164"/>
      <x:c r="R33" s="164"/>
    </x:row>
    <x:row r="34" ht="22" customHeight="1">
      <x:c r="B34" s="164" t="str">
        <x:v>D3 additional internal allowance cost</x:v>
      </x:c>
      <x:c r="C34" s="164"/>
      <x:c r="D34" s="174" t="n">
        <x:f>-D31*D32</x:f>
        <x:v>0</x:v>
      </x:c>
      <x:c r="E34" s="174" t="n">
        <x:f>-E31*E32</x:f>
        <x:v>0</x:v>
      </x:c>
      <x:c r="F34" s="174" t="n">
        <x:f>-F31*F32</x:f>
        <x:v>-1875</x:v>
      </x:c>
      <x:c r="G34" s="174" t="n">
        <x:f>-G31*G32</x:f>
        <x:v>-1875</x:v>
      </x:c>
      <x:c r="H34" s="174" t="n">
        <x:f>-H31*H32</x:f>
        <x:v>-1875</x:v>
      </x:c>
      <x:c r="I34" s="174" t="n">
        <x:f>-I31*I32</x:f>
        <x:v>-1462.5000000000002</x:v>
      </x:c>
      <x:c r="J34" s="174" t="n">
        <x:f>-J31*J32</x:f>
        <x:v>-750</x:v>
      </x:c>
      <x:c r="K34" s="174" t="n">
        <x:f>-K31*K32</x:f>
        <x:v>-1125</x:v>
      </x:c>
      <x:c r="L34" s="174" t="n">
        <x:f>-L31*L32</x:f>
        <x:v>-2250</x:v>
      </x:c>
      <x:c r="M34" s="174" t="n">
        <x:f>-M31*M32</x:f>
        <x:v>-2250</x:v>
      </x:c>
      <x:c r="N34" s="174" t="n">
        <x:f>-N31*N32</x:f>
        <x:v>-1852.4999999999998</x:v>
      </x:c>
      <x:c r="O34" s="174" t="n">
        <x:f>-O31*O32</x:f>
        <x:v>-1875</x:v>
      </x:c>
      <x:c r="P34" s="174" t="n">
        <x:f>SUM(D34:O34)</x:f>
        <x:v>-17190</x:v>
      </x:c>
      <x:c r="Q34" s="164"/>
      <x:c r="R34" s="164"/>
    </x:row>
    <x:row r="35" ht="22" customHeight="1">
      <x:c r="B35" s="183" t="str">
        <x:v>D3 delivery-cost saving</x:v>
      </x:c>
      <x:c r="C35" s="183"/>
      <x:c r="D35" s="185" t="n">
        <x:f>SUM(D33:D34)</x:f>
        <x:v>0</x:v>
      </x:c>
      <x:c r="E35" s="185" t="n">
        <x:f>SUM(E33:E34)</x:f>
        <x:v>0</x:v>
      </x:c>
      <x:c r="F35" s="185" t="n">
        <x:f>SUM(F33:F34)</x:f>
        <x:v>5125</x:v>
      </x:c>
      <x:c r="G35" s="185" t="n">
        <x:f>SUM(G33:G34)</x:f>
        <x:v>5125</x:v>
      </x:c>
      <x:c r="H35" s="185" t="n">
        <x:f>SUM(H33:H34)</x:f>
        <x:v>5125</x:v>
      </x:c>
      <x:c r="I35" s="185" t="n">
        <x:f>SUM(I33:I34)</x:f>
        <x:v>3997.500000000001</x:v>
      </x:c>
      <x:c r="J35" s="185" t="n">
        <x:f>SUM(J33:J34)</x:f>
        <x:v>2330.0000000000005</x:v>
      </x:c>
      <x:c r="K35" s="185" t="n">
        <x:f>SUM(K33:K34)</x:f>
        <x:v>3495.000000000001</x:v>
      </x:c>
      <x:c r="L35" s="185" t="n">
        <x:f>SUM(L33:L34)</x:f>
        <x:v>6990.000000000002</x:v>
      </x:c>
      <x:c r="M35" s="185" t="n">
        <x:f>SUM(M33:M34)</x:f>
        <x:v>6990.000000000002</x:v>
      </x:c>
      <x:c r="N35" s="185" t="n">
        <x:f>SUM(N33:N34)</x:f>
        <x:v>5755.1</x:v>
      </x:c>
      <x:c r="O35" s="185" t="n">
        <x:f>SUM(O33:O34)</x:f>
        <x:v>5825.000000000001</x:v>
      </x:c>
      <x:c r="P35" s="185" t="n">
        <x:f>SUM(D35:O35)</x:f>
        <x:v>50757.6</x:v>
      </x:c>
      <x:c r="Q35" s="164"/>
      <x:c r="R35" s="164"/>
    </x:row>
    <x:row r="36" ht="22" customHeight="1">
      <x:c r="B36" s="183" t="str">
        <x:v>External instructor days still required</x:v>
      </x:c>
      <x:c r="C36" s="183"/>
      <x:c r="D36" s="198" t="n">
        <x:f>D28-D31</x:f>
        <x:v>15.8</x:v>
      </x:c>
      <x:c r="E36" s="198" t="n">
        <x:f>E28-E31</x:f>
        <x:v>16</x:v>
      </x:c>
      <x:c r="F36" s="198" t="n">
        <x:f>F28-F31</x:f>
        <x:v>4.6</x:v>
      </x:c>
      <x:c r="G36" s="198" t="n">
        <x:f>G28-G31</x:f>
        <x:v>5.98</x:v>
      </x:c>
      <x:c r="H36" s="198" t="n">
        <x:f>H28-H31</x:f>
        <x:v>3.1999999999999993</x:v>
      </x:c>
      <x:c r="I36" s="198" t="n">
        <x:f>I28-I31</x:f>
        <x:v>0</x:v>
      </x:c>
      <x:c r="J36" s="198" t="n">
        <x:f>J28-J31</x:f>
        <x:v>0.7000000000000002</x:v>
      </x:c>
      <x:c r="K36" s="198" t="n">
        <x:f>K28-K31</x:f>
        <x:v>6</x:v>
      </x:c>
      <x:c r="L36" s="198" t="n">
        <x:f>L28-L31</x:f>
        <x:v>5</x:v>
      </x:c>
      <x:c r="M36" s="198" t="n">
        <x:f>M28-M31</x:f>
        <x:v>9.219999999999999</x:v>
      </x:c>
      <x:c r="N36" s="198" t="n">
        <x:f>N28-N31</x:f>
        <x:v>0</x:v>
      </x:c>
      <x:c r="O36" s="198" t="n">
        <x:f>O28-O31</x:f>
        <x:v>4</x:v>
      </x:c>
      <x:c r="P36" s="198" t="n">
        <x:f>SUM(D36:O36)</x:f>
        <x:v>70.5</x:v>
      </x:c>
      <x:c r="Q36" s="164"/>
      <x:c r="R36" s="188" t="str">
        <x:v>Expected external days. Reserve whole bookings and roster dates at least 6–8 weeks ahead.</x:v>
      </x:c>
    </x:row>
    <x:row r="37" ht="22" customHeight="1">
      <x:c r="B37" s="164" t="str">
        <x:v>D3 training operating expense</x:v>
      </x:c>
      <x:c r="C37" s="164"/>
      <x:c r="D37" s="175" t="n">
        <x:f>-'14 Drivers'!D15</x:f>
        <x:v>0</x:v>
      </x:c>
      <x:c r="E37" s="175" t="n">
        <x:f>-'14 Drivers'!E15</x:f>
        <x:v>-1000</x:v>
      </x:c>
      <x:c r="F37" s="175" t="n">
        <x:f>-'14 Drivers'!F15</x:f>
        <x:v>0</x:v>
      </x:c>
      <x:c r="G37" s="175" t="n">
        <x:f>-'14 Drivers'!G15</x:f>
        <x:v>0</x:v>
      </x:c>
      <x:c r="H37" s="175" t="n">
        <x:f>-'14 Drivers'!H15</x:f>
        <x:v>0</x:v>
      </x:c>
      <x:c r="I37" s="175" t="n">
        <x:f>-'14 Drivers'!I15</x:f>
        <x:v>0</x:v>
      </x:c>
      <x:c r="J37" s="175" t="n">
        <x:f>-'14 Drivers'!J15</x:f>
        <x:v>0</x:v>
      </x:c>
      <x:c r="K37" s="175" t="n">
        <x:f>-'14 Drivers'!K15</x:f>
        <x:v>0</x:v>
      </x:c>
      <x:c r="L37" s="175" t="n">
        <x:f>-'14 Drivers'!L15</x:f>
        <x:v>0</x:v>
      </x:c>
      <x:c r="M37" s="175" t="n">
        <x:f>-'14 Drivers'!M15</x:f>
        <x:v>0</x:v>
      </x:c>
      <x:c r="N37" s="175" t="n">
        <x:f>-'14 Drivers'!N15</x:f>
        <x:v>0</x:v>
      </x:c>
      <x:c r="O37" s="175" t="n">
        <x:f>-'14 Drivers'!O15</x:f>
        <x:v>0</x:v>
      </x:c>
      <x:c r="P37" s="174" t="n">
        <x:f>SUM(D37:O37)</x:f>
        <x:v>-1000</x:v>
      </x:c>
      <x:c r="Q37" s="164"/>
      <x:c r="R37" s="164"/>
    </x:row>
    <x:row r="38" ht="22" customHeight="1">
      <x:c r="B38" s="183" t="str">
        <x:v>D3 standalone profit effect</x:v>
      </x:c>
      <x:c r="C38" s="183"/>
      <x:c r="D38" s="185" t="n">
        <x:f>SUM(D35,D37)</x:f>
        <x:v>0</x:v>
      </x:c>
      <x:c r="E38" s="185" t="n">
        <x:f>SUM(E35,E37)</x:f>
        <x:v>-1000</x:v>
      </x:c>
      <x:c r="F38" s="185" t="n">
        <x:f>SUM(F35,F37)</x:f>
        <x:v>5125</x:v>
      </x:c>
      <x:c r="G38" s="185" t="n">
        <x:f>SUM(G35,G37)</x:f>
        <x:v>5125</x:v>
      </x:c>
      <x:c r="H38" s="185" t="n">
        <x:f>SUM(H35,H37)</x:f>
        <x:v>5125</x:v>
      </x:c>
      <x:c r="I38" s="185" t="n">
        <x:f>SUM(I35,I37)</x:f>
        <x:v>3997.500000000001</x:v>
      </x:c>
      <x:c r="J38" s="185" t="n">
        <x:f>SUM(J35,J37)</x:f>
        <x:v>2330.0000000000005</x:v>
      </x:c>
      <x:c r="K38" s="185" t="n">
        <x:f>SUM(K35,K37)</x:f>
        <x:v>3495.000000000001</x:v>
      </x:c>
      <x:c r="L38" s="185" t="n">
        <x:f>SUM(L35,L37)</x:f>
        <x:v>6990.000000000002</x:v>
      </x:c>
      <x:c r="M38" s="185" t="n">
        <x:f>SUM(M35,M37)</x:f>
        <x:v>6990.000000000002</x:v>
      </x:c>
      <x:c r="N38" s="185" t="n">
        <x:f>SUM(N35,N37)</x:f>
        <x:v>5755.1</x:v>
      </x:c>
      <x:c r="O38" s="185" t="n">
        <x:f>SUM(O35,O37)</x:f>
        <x:v>5825.000000000001</x:v>
      </x:c>
      <x:c r="P38" s="185" t="n">
        <x:f>SUM(D38:O38)</x:f>
        <x:v>49757.6</x:v>
      </x:c>
      <x:c r="Q38" s="164"/>
      <x:c r="R38" s="164"/>
    </x:row>
    <x:row r="39" ht="22" customHeight="1">
      <x:c r="B39" s="164"/>
      <x:c r="C39" s="164"/>
      <x:c r="D39" s="174"/>
      <x:c r="E39" s="174"/>
      <x:c r="F39" s="174"/>
      <x:c r="G39" s="174"/>
      <x:c r="H39" s="174"/>
      <x:c r="I39" s="174"/>
      <x:c r="J39" s="174"/>
      <x:c r="K39" s="174"/>
      <x:c r="L39" s="174"/>
      <x:c r="M39" s="174"/>
      <x:c r="N39" s="174"/>
      <x:c r="O39" s="174"/>
      <x:c r="P39" s="174"/>
      <x:c r="Q39" s="164"/>
      <x:c r="R39" s="164"/>
    </x:row>
    <x:row r="40" ht="22" customHeight="1">
      <x:c r="B40" s="183" t="str">
        <x:v>Part 2 revenue</x:v>
      </x:c>
      <x:c r="C40" s="183"/>
      <x:c r="D40" s="185" t="n">
        <x:f>SUM(D7,D9,D18)</x:f>
        <x:v>39800</x:v>
      </x:c>
      <x:c r="E40" s="185" t="n">
        <x:f>SUM(E7,E9,E18)</x:f>
        <x:v>48600</x:v>
      </x:c>
      <x:c r="F40" s="185" t="n">
        <x:f>SUM(F7,F9,F18)</x:f>
        <x:v>38500</x:v>
      </x:c>
      <x:c r="G40" s="185" t="n">
        <x:f>SUM(G7,G9,G18)</x:f>
        <x:v>47300</x:v>
      </x:c>
      <x:c r="H40" s="185" t="n">
        <x:f>SUM(H7,H9,H18)</x:f>
        <x:v>35800</x:v>
      </x:c>
      <x:c r="I40" s="185" t="n">
        <x:f>SUM(I7,I9,I18)</x:f>
        <x:v>28800</x:v>
      </x:c>
      <x:c r="J40" s="185" t="n">
        <x:f>SUM(J7,J9,J18)</x:f>
        <x:v>11750</x:v>
      </x:c>
      <x:c r="K40" s="185" t="n">
        <x:f>SUM(K7,K9,K18)</x:f>
        <x:v>28500</x:v>
      </x:c>
      <x:c r="L40" s="185" t="n">
        <x:f>SUM(L7,L9,L18)</x:f>
        <x:v>52700</x:v>
      </x:c>
      <x:c r="M40" s="185" t="n">
        <x:f>SUM(M7,M9,M18)</x:f>
        <x:v>58500</x:v>
      </x:c>
      <x:c r="N40" s="185" t="n">
        <x:f>SUM(N7,N9,N18)</x:f>
        <x:v>33800</x:v>
      </x:c>
      <x:c r="O40" s="185" t="n">
        <x:f>SUM(O7,O9,O18)</x:f>
        <x:v>39000</x:v>
      </x:c>
      <x:c r="P40" s="185" t="n">
        <x:f>SUM(D40:O40)</x:f>
        <x:v>463050</x:v>
      </x:c>
      <x:c r="Q40" s="164"/>
      <x:c r="R40" s="164"/>
    </x:row>
    <x:row r="41" ht="22" customHeight="1">
      <x:c r="B41" s="183" t="str">
        <x:v>Part 2 direct costs</x:v>
      </x:c>
      <x:c r="C41" s="183"/>
      <x:c r="D41" s="187" t="n">
        <x:f>SUM('15 P1 Workings'!D41,D11,D14,D24,D35)</x:f>
        <x:v>-21280</x:v>
      </x:c>
      <x:c r="E41" s="187" t="n">
        <x:f>SUM('15 P1 Workings'!E41,E11,E14,E24,E35)</x:f>
        <x:v>-24330.9375</x:v>
      </x:c>
      <x:c r="F41" s="187" t="n">
        <x:f>SUM('15 P1 Workings'!F41,F11,F14,F24,F35)</x:f>
        <x:v>-15637.8125</x:v>
      </x:c>
      <x:c r="G41" s="187" t="n">
        <x:f>SUM('15 P1 Workings'!G41,G11,G14,G24,G35)</x:f>
        <x:v>-19666.28125</x:v>
      </x:c>
      <x:c r="H41" s="187" t="n">
        <x:f>SUM('15 P1 Workings'!H41,H11,H14,H24,H35)</x:f>
        <x:v>-13504.6875</x:v>
      </x:c>
      <x:c r="I41" s="187" t="n">
        <x:f>SUM('15 P1 Workings'!I41,I11,I14,I24,I35)</x:f>
        <x:v>-9901.5625</x:v>
      </x:c>
      <x:c r="J41" s="187" t="n">
        <x:f>SUM('15 P1 Workings'!J41,J11,J14,J24,J35)</x:f>
        <x:v>-4172.90625</x:v>
      </x:c>
      <x:c r="K41" s="187" t="n">
        <x:f>SUM('15 P1 Workings'!K41,K11,K14,K24,K35)</x:f>
        <x:v>-13740.3125</x:v>
      </x:c>
      <x:c r="L41" s="187" t="n">
        <x:f>SUM('15 P1 Workings'!L41,L11,L14,L24,L35)</x:f>
        <x:v>-23060.9375</x:v>
      </x:c>
      <x:c r="M41" s="187" t="n">
        <x:f>SUM('15 P1 Workings'!M41,M11,M14,M24,M35)</x:f>
        <x:v>-24869.11875</x:v>
      </x:c>
      <x:c r="N41" s="187" t="n">
        <x:f>SUM('15 P1 Workings'!N41,N11,N14,N24,N35)</x:f>
        <x:v>-12097.624999999998</x:v>
      </x:c>
      <x:c r="O41" s="187" t="n">
        <x:f>SUM('15 P1 Workings'!O41,O11,O14,O24,O35)</x:f>
        <x:v>-14700.3125</x:v>
      </x:c>
      <x:c r="P41" s="185" t="n">
        <x:f>SUM(D41:O41)</x:f>
        <x:v>-196962.49375</x:v>
      </x:c>
      <x:c r="Q41" s="164"/>
      <x:c r="R41" s="164"/>
    </x:row>
    <x:row r="42" ht="22" customHeight="1">
      <x:c r="B42" s="183" t="str">
        <x:v>Part 2 operating expenses</x:v>
      </x:c>
      <x:c r="C42" s="183"/>
      <x:c r="D42" s="187" t="n">
        <x:f>SUM('15 P1 Workings'!D50,D25,D37)</x:f>
        <x:v>-25875</x:v>
      </x:c>
      <x:c r="E42" s="187" t="n">
        <x:f>SUM('15 P1 Workings'!E50,E25,E37)</x:f>
        <x:v>-25375</x:v>
      </x:c>
      <x:c r="F42" s="187" t="n">
        <x:f>SUM('15 P1 Workings'!F50,F25,F37)</x:f>
        <x:v>-22125</x:v>
      </x:c>
      <x:c r="G42" s="187" t="n">
        <x:f>SUM('15 P1 Workings'!G50,G25,G37)</x:f>
        <x:v>-21625</x:v>
      </x:c>
      <x:c r="H42" s="187" t="n">
        <x:f>SUM('15 P1 Workings'!H50,H25,H37)</x:f>
        <x:v>-23791.666666666668</x:v>
      </x:c>
      <x:c r="I42" s="187" t="n">
        <x:f>SUM('15 P1 Workings'!I50,I25,I37)</x:f>
        <x:v>-23291.666666666668</x:v>
      </x:c>
      <x:c r="J42" s="187" t="n">
        <x:f>SUM('15 P1 Workings'!J50,J25,J37)</x:f>
        <x:v>-21791.666666666668</x:v>
      </x:c>
      <x:c r="K42" s="187" t="n">
        <x:f>SUM('15 P1 Workings'!K50,K25,K37)</x:f>
        <x:v>-22791.666666666668</x:v>
      </x:c>
      <x:c r="L42" s="187" t="n">
        <x:f>SUM('15 P1 Workings'!L50,L25,L37)</x:f>
        <x:v>-25291.666666666668</x:v>
      </x:c>
      <x:c r="M42" s="187" t="n">
        <x:f>SUM('15 P1 Workings'!M50,M25,M37)</x:f>
        <x:v>-25791.666666666668</x:v>
      </x:c>
      <x:c r="N42" s="187" t="n">
        <x:f>SUM('15 P1 Workings'!N50,N25,N37)</x:f>
        <x:v>-24791.666666666668</x:v>
      </x:c>
      <x:c r="O42" s="187" t="n">
        <x:f>SUM('15 P1 Workings'!O50,O25,O37)</x:f>
        <x:v>-23291.666666666668</x:v>
      </x:c>
      <x:c r="P42" s="185" t="n">
        <x:f>SUM(D42:O42)</x:f>
        <x:v>-285833.3333333333</x:v>
      </x:c>
      <x:c r="Q42" s="164"/>
      <x:c r="R42" s="164"/>
    </x:row>
    <x:row r="43" ht="22" customHeight="1">
      <x:c r="B43" s="183" t="str">
        <x:v>Part 2 contribution</x:v>
      </x:c>
      <x:c r="C43" s="183"/>
      <x:c r="D43" s="185" t="n">
        <x:f>SUM(D40:D41)</x:f>
        <x:v>18520</x:v>
      </x:c>
      <x:c r="E43" s="185" t="n">
        <x:f>SUM(E40:E41)</x:f>
        <x:v>24269.0625</x:v>
      </x:c>
      <x:c r="F43" s="185" t="n">
        <x:f>SUM(F40:F41)</x:f>
        <x:v>22862.1875</x:v>
      </x:c>
      <x:c r="G43" s="185" t="n">
        <x:f>SUM(G40:G41)</x:f>
        <x:v>27633.71875</x:v>
      </x:c>
      <x:c r="H43" s="185" t="n">
        <x:f>SUM(H40:H41)</x:f>
        <x:v>22295.3125</x:v>
      </x:c>
      <x:c r="I43" s="185" t="n">
        <x:f>SUM(I40:I41)</x:f>
        <x:v>18898.4375</x:v>
      </x:c>
      <x:c r="J43" s="185" t="n">
        <x:f>SUM(J40:J41)</x:f>
        <x:v>7577.09375</x:v>
      </x:c>
      <x:c r="K43" s="185" t="n">
        <x:f>SUM(K40:K41)</x:f>
        <x:v>14759.6875</x:v>
      </x:c>
      <x:c r="L43" s="185" t="n">
        <x:f>SUM(L40:L41)</x:f>
        <x:v>29639.0625</x:v>
      </x:c>
      <x:c r="M43" s="185" t="n">
        <x:f>SUM(M40:M41)</x:f>
        <x:v>33630.88125</x:v>
      </x:c>
      <x:c r="N43" s="185" t="n">
        <x:f>SUM(N40:N41)</x:f>
        <x:v>21702.375</x:v>
      </x:c>
      <x:c r="O43" s="185" t="n">
        <x:f>SUM(O40:O41)</x:f>
        <x:v>24299.6875</x:v>
      </x:c>
      <x:c r="P43" s="185" t="n">
        <x:f>SUM(D43:O43)</x:f>
        <x:v>266087.50625</x:v>
      </x:c>
      <x:c r="Q43" s="164"/>
      <x:c r="R43" s="164"/>
    </x:row>
    <x:row r="44" ht="22" customHeight="1">
      <x:c r="B44" s="183" t="str">
        <x:v>Part 2 operating profit</x:v>
      </x:c>
      <x:c r="C44" s="183"/>
      <x:c r="D44" s="185" t="n">
        <x:f>SUM(D43,D42)</x:f>
        <x:v>-7355</x:v>
      </x:c>
      <x:c r="E44" s="185" t="n">
        <x:f>SUM(E43,E42)</x:f>
        <x:v>-1105.9375</x:v>
      </x:c>
      <x:c r="F44" s="185" t="n">
        <x:f>SUM(F43,F42)</x:f>
        <x:v>737.1875</x:v>
      </x:c>
      <x:c r="G44" s="185" t="n">
        <x:f>SUM(G43,G42)</x:f>
        <x:v>6008.71875</x:v>
      </x:c>
      <x:c r="H44" s="185" t="n">
        <x:f>SUM(H43,H42)</x:f>
        <x:v>-1496.3541666666679</x:v>
      </x:c>
      <x:c r="I44" s="185" t="n">
        <x:f>SUM(I43,I42)</x:f>
        <x:v>-4393.229166666668</x:v>
      </x:c>
      <x:c r="J44" s="185" t="n">
        <x:f>SUM(J43,J42)</x:f>
        <x:v>-14214.572916666668</x:v>
      </x:c>
      <x:c r="K44" s="185" t="n">
        <x:f>SUM(K43,K42)</x:f>
        <x:v>-8031.979166666668</x:v>
      </x:c>
      <x:c r="L44" s="185" t="n">
        <x:f>SUM(L43,L42)</x:f>
        <x:v>4347.395833333332</x:v>
      </x:c>
      <x:c r="M44" s="185" t="n">
        <x:f>SUM(M43,M42)</x:f>
        <x:v>7839.214583333331</x:v>
      </x:c>
      <x:c r="N44" s="185" t="n">
        <x:f>SUM(N43,N42)</x:f>
        <x:v>-3089.291666666668</x:v>
      </x:c>
      <x:c r="O44" s="185" t="n">
        <x:f>SUM(O43,O42)</x:f>
        <x:v>1008.0208333333321</x:v>
      </x:c>
      <x:c r="P44" s="185" t="n">
        <x:f>SUM(D44:O44)</x:f>
        <x:v>-19745.827083333344</x:v>
      </x:c>
      <x:c r="Q44" s="164"/>
      <x:c r="R44" s="164"/>
    </x:row>
    <x:row r="45" ht="22" customHeight="1">
      <x:c r="B45" s="183" t="str">
        <x:v>Part 2 total open seats</x:v>
      </x:c>
      <x:c r="C45" s="183"/>
      <x:c r="D45" s="199" t="n">
        <x:f>SUM('15 P1 Workings'!D34,D17)</x:f>
        <x:v>14</x:v>
      </x:c>
      <x:c r="E45" s="199" t="n">
        <x:f>SUM('15 P1 Workings'!E34,E17)</x:f>
        <x:v>14</x:v>
      </x:c>
      <x:c r="F45" s="199" t="n">
        <x:f>SUM('15 P1 Workings'!F34,F17)</x:f>
        <x:v>14</x:v>
      </x:c>
      <x:c r="G45" s="199" t="n">
        <x:f>SUM('15 P1 Workings'!G34,G17)</x:f>
        <x:v>13</x:v>
      </x:c>
      <x:c r="H45" s="199" t="n">
        <x:f>SUM('15 P1 Workings'!H34,H17)</x:f>
        <x:v>13</x:v>
      </x:c>
      <x:c r="I45" s="199" t="n">
        <x:f>SUM('15 P1 Workings'!I34,I17)</x:f>
        <x:v>13</x:v>
      </x:c>
      <x:c r="J45" s="199" t="n">
        <x:f>SUM('15 P1 Workings'!J34,J17)</x:f>
        <x:v>0</x:v>
      </x:c>
      <x:c r="K45" s="199" t="n">
        <x:f>SUM('15 P1 Workings'!K34,K17)</x:f>
        <x:v>5</x:v>
      </x:c>
      <x:c r="L45" s="199" t="n">
        <x:f>SUM('15 P1 Workings'!L34,L17)</x:f>
        <x:v>8</x:v>
      </x:c>
      <x:c r="M45" s="199" t="n">
        <x:f>SUM('15 P1 Workings'!M34,M17)</x:f>
        <x:v>17</x:v>
      </x:c>
      <x:c r="N45" s="199" t="n">
        <x:f>SUM('15 P1 Workings'!N34,N17)</x:f>
        <x:v>19</x:v>
      </x:c>
      <x:c r="O45" s="199" t="n">
        <x:f>SUM('15 P1 Workings'!O34,O17)</x:f>
        <x:v>15</x:v>
      </x:c>
      <x:c r="P45" s="200" t="n">
        <x:f>SUM(D45:O45)</x:f>
        <x:v>145</x:v>
      </x:c>
      <x:c r="Q45" s="164"/>
      <x:c r="R45" s="164"/>
    </x:row>
    <x:row r="46" ht="22" customHeight="1">
      <x:c r="B46" s="164"/>
      <x:c r="C46" s="164"/>
      <x:c r="D46" s="174"/>
      <x:c r="E46" s="174"/>
      <x:c r="F46" s="174"/>
      <x:c r="G46" s="174"/>
      <x:c r="H46" s="174"/>
      <x:c r="I46" s="174"/>
      <x:c r="J46" s="174"/>
      <x:c r="K46" s="174"/>
      <x:c r="L46" s="174"/>
      <x:c r="M46" s="174"/>
      <x:c r="N46" s="174"/>
      <x:c r="O46" s="174"/>
      <x:c r="P46" s="174"/>
      <x:c r="Q46" s="164"/>
      <x:c r="R46" s="164"/>
    </x:row>
    <x:row r="47" ht="22" customHeight="1">
      <x:c r="B47" s="164" t="str">
        <x:v>D1 expected standard engagements</x:v>
      </x:c>
      <x:c r="C47" s="164"/>
      <x:c r="D47" s="194" t="n">
        <x:f>D9/('14 Drivers'!$D$22*'14 Drivers'!$D$34)</x:f>
        <x:v>0</x:v>
      </x:c>
      <x:c r="E47" s="194" t="n">
        <x:f>E9/('14 Drivers'!$D$22*'14 Drivers'!$D$34)</x:f>
        <x:v>0</x:v>
      </x:c>
      <x:c r="F47" s="194" t="n">
        <x:f>F9/('14 Drivers'!$D$22*'14 Drivers'!$D$34)</x:f>
        <x:v>1.0666666666666667</x:v>
      </x:c>
      <x:c r="G47" s="194" t="n">
        <x:f>G9/('14 Drivers'!$D$22*'14 Drivers'!$D$34)</x:f>
        <x:v>1.8666666666666667</x:v>
      </x:c>
      <x:c r="H47" s="194" t="n">
        <x:f>H9/('14 Drivers'!$D$22*'14 Drivers'!$D$34)</x:f>
        <x:v>0.8</x:v>
      </x:c>
      <x:c r="I47" s="194" t="n">
        <x:f>I9/('14 Drivers'!$D$22*'14 Drivers'!$D$34)</x:f>
        <x:v>0.26666666666666666</x:v>
      </x:c>
      <x:c r="J47" s="194" t="n">
        <x:f>J9/('14 Drivers'!$D$22*'14 Drivers'!$D$34)</x:f>
        <x:v>0.13333333333333333</x:v>
      </x:c>
      <x:c r="K47" s="194" t="n">
        <x:f>K9/('14 Drivers'!$D$22*'14 Drivers'!$D$34)</x:f>
        <x:v>0</x:v>
      </x:c>
      <x:c r="L47" s="194" t="n">
        <x:f>L9/('14 Drivers'!$D$22*'14 Drivers'!$D$34)</x:f>
        <x:v>0</x:v>
      </x:c>
      <x:c r="M47" s="194" t="n">
        <x:f>M9/('14 Drivers'!$D$22*'14 Drivers'!$D$34)</x:f>
        <x:v>0</x:v>
      </x:c>
      <x:c r="N47" s="194" t="n">
        <x:f>N9/('14 Drivers'!$D$22*'14 Drivers'!$D$34)</x:f>
        <x:v>0</x:v>
      </x:c>
      <x:c r="O47" s="194" t="n">
        <x:f>O9/('14 Drivers'!$D$22*'14 Drivers'!$D$34)</x:f>
        <x:v>0</x:v>
      </x:c>
      <x:c r="P47" s="195" t="n">
        <x:f>SUM(D47:O47)</x:f>
        <x:v>4.133333333333334</x:v>
      </x:c>
      <x:c r="Q47" s="164"/>
      <x:c r="R47" s="164"/>
    </x:row>
    <x:row r="48" ht="22" customHeight="1">
      <x:c r="B48" s="164" t="str">
        <x:v>Total Anna contractor fee (10%)</x:v>
      </x:c>
      <x:c r="C48" s="164"/>
      <x:c r="D48" s="175" t="n">
        <x:f>-D13*'14 Drivers'!$D$42</x:f>
        <x:v>0</x:v>
      </x:c>
      <x:c r="E48" s="175" t="n">
        <x:f>-E13*'14 Drivers'!$D$42</x:f>
        <x:v>0</x:v>
      </x:c>
      <x:c r="F48" s="175" t="n">
        <x:f>-F13*'14 Drivers'!$D$42</x:f>
        <x:v>-900</x:v>
      </x:c>
      <x:c r="G48" s="175" t="n">
        <x:f>-G13*'14 Drivers'!$D$42</x:f>
        <x:v>-700</x:v>
      </x:c>
      <x:c r="H48" s="175" t="n">
        <x:f>-H13*'14 Drivers'!$D$42</x:f>
        <x:v>-550</x:v>
      </x:c>
      <x:c r="I48" s="175" t="n">
        <x:f>-I13*'14 Drivers'!$D$42</x:f>
        <x:v>-100</x:v>
      </x:c>
      <x:c r="J48" s="175" t="n">
        <x:f>-J13*'14 Drivers'!$D$42</x:f>
        <x:v>-50</x:v>
      </x:c>
      <x:c r="K48" s="175" t="n">
        <x:f>-K13*'14 Drivers'!$D$42</x:f>
        <x:v>0</x:v>
      </x:c>
      <x:c r="L48" s="175" t="n">
        <x:f>-L13*'14 Drivers'!$D$42</x:f>
        <x:v>-1540</x:v>
      </x:c>
      <x:c r="M48" s="175" t="n">
        <x:f>-M13*'14 Drivers'!$D$42</x:f>
        <x:v>0</x:v>
      </x:c>
      <x:c r="N48" s="175" t="n">
        <x:f>-N13*'14 Drivers'!$D$42</x:f>
        <x:v>-500</x:v>
      </x:c>
      <x:c r="O48" s="175" t="n">
        <x:f>-O13*'14 Drivers'!$D$42</x:f>
        <x:v>0</x:v>
      </x:c>
      <x:c r="P48" s="174" t="n">
        <x:f>SUM(D48:O48)</x:f>
        <x:v>-4340</x:v>
      </x:c>
      <x:c r="Q48" s="164"/>
      <x:c r="R48" s="164"/>
    </x:row>
    <x:row r="49" ht="22" customHeight="1">
      <x:c r="B49" s="164"/>
      <x:c r="C49" s="164"/>
      <x:c r="D49" s="174"/>
      <x:c r="E49" s="174"/>
      <x:c r="F49" s="174"/>
      <x:c r="G49" s="174"/>
      <x:c r="H49" s="174"/>
      <x:c r="I49" s="174"/>
      <x:c r="J49" s="174"/>
      <x:c r="K49" s="174"/>
      <x:c r="L49" s="174"/>
      <x:c r="M49" s="174"/>
      <x:c r="N49" s="174"/>
      <x:c r="O49" s="174"/>
      <x:c r="P49" s="174"/>
      <x:c r="Q49" s="164"/>
      <x:c r="R49" s="164"/>
    </x:row>
    <x:row r="50" ht="22" customHeight="1">
      <x:c r="B50" s="164"/>
      <x:c r="C50" s="164"/>
      <x:c r="D50" s="174"/>
      <x:c r="E50" s="174"/>
      <x:c r="F50" s="174"/>
      <x:c r="G50" s="174"/>
      <x:c r="H50" s="174"/>
      <x:c r="I50" s="174"/>
      <x:c r="J50" s="174"/>
      <x:c r="K50" s="174"/>
      <x:c r="L50" s="174"/>
      <x:c r="M50" s="174"/>
      <x:c r="N50" s="174"/>
      <x:c r="O50" s="174"/>
      <x:c r="P50" s="174"/>
      <x:c r="Q50" s="164"/>
      <x:c r="R50" s="164"/>
    </x:row>
    <x:row r="51" ht="22" customHeight="1">
      <x:c r="B51" s="164"/>
      <x:c r="C51" s="164"/>
      <x:c r="D51" s="174"/>
      <x:c r="E51" s="174"/>
      <x:c r="F51" s="174"/>
      <x:c r="G51" s="174"/>
      <x:c r="H51" s="174"/>
      <x:c r="I51" s="174"/>
      <x:c r="J51" s="174"/>
      <x:c r="K51" s="174"/>
      <x:c r="L51" s="174"/>
      <x:c r="M51" s="174"/>
      <x:c r="N51" s="174"/>
      <x:c r="O51" s="174"/>
      <x:c r="P51" s="174"/>
      <x:c r="Q51" s="164"/>
      <x:c r="R51" s="164"/>
    </x:row>
    <x:row r="52" ht="22" customHeight="1">
      <x:c r="B52" s="164"/>
      <x:c r="C52" s="164"/>
      <x:c r="D52" s="174"/>
      <x:c r="E52" s="174"/>
      <x:c r="F52" s="174"/>
      <x:c r="G52" s="174"/>
      <x:c r="H52" s="174"/>
      <x:c r="I52" s="174"/>
      <x:c r="J52" s="174"/>
      <x:c r="K52" s="174"/>
      <x:c r="L52" s="174"/>
      <x:c r="M52" s="174"/>
      <x:c r="N52" s="174"/>
      <x:c r="O52" s="174"/>
      <x:c r="P52" s="174"/>
      <x:c r="Q52" s="164"/>
      <x:c r="R52" s="164"/>
    </x:row>
    <x:row r="53" ht="22" customHeight="1">
      <x:c r="B53" s="164"/>
      <x:c r="C53" s="164"/>
      <x:c r="D53" s="174"/>
      <x:c r="E53" s="174"/>
      <x:c r="F53" s="174"/>
      <x:c r="G53" s="174"/>
      <x:c r="H53" s="174"/>
      <x:c r="I53" s="174"/>
      <x:c r="J53" s="174"/>
      <x:c r="K53" s="174"/>
      <x:c r="L53" s="174"/>
      <x:c r="M53" s="174"/>
      <x:c r="N53" s="174"/>
      <x:c r="O53" s="174"/>
      <x:c r="P53" s="174"/>
      <x:c r="Q53" s="164"/>
      <x:c r="R53" s="164"/>
    </x:row>
  </x:sheetData>
  <x:pageMargins left="0.7" right="0.7" top="0.75" bottom="0.75" header="0.3" footer="0.3"/>
</x:worksheet>
</file>

<file path=xl/worksheets/sheet18.xml><?xml version="1.0" encoding="utf-8"?>
<x:worksheet xmlns:x="http://schemas.openxmlformats.org/spreadsheetml/2006/main">
  <x:sheetPr>
    <x:tabColor rgb="FF183E4C"/>
  </x:sheetPr>
  <x:sheetViews>
    <x:sheetView showGridLines="0" workbookViewId="0">
      <x:pane xSplit="6" ySplit="6" topLeftCell="G7" activePane="bottomRight" state="frozen"/>
    </x:sheetView>
  </x:sheetViews>
  <x:sheetFormatPr defaultRowHeight="15"/>
  <x:cols>
    <x:col min="2" max="2" width="9" hidden="0" customWidth="1"/>
    <x:col min="3" max="3" width="9" hidden="0" customWidth="1"/>
    <x:col min="4" max="4" width="18" hidden="0" customWidth="1"/>
    <x:col min="5" max="5" width="34" hidden="0" customWidth="1"/>
    <x:col min="6" max="6" width="22" hidden="0" customWidth="1"/>
    <x:col min="7" max="7" width="10" hidden="0" customWidth="1"/>
    <x:col min="8" max="8" width="10" hidden="0" customWidth="1"/>
    <x:col min="9" max="9" width="10"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4" hidden="0" customWidth="1"/>
    <x:col min="22" max="22" width="14" hidden="0" customWidth="1"/>
    <x:col min="23" max="23" width="14" hidden="0" customWidth="1"/>
    <x:col min="24" max="24" width="14" hidden="0" customWidth="1"/>
    <x:col min="25" max="25" width="14" hidden="0" customWidth="1"/>
  </x:cols>
  <x:sheetData>
    <x:row r="2" ht="24" customHeight="1">
      <x:c r="B2" s="165" t="str">
        <x:v>Program economics and staffing</x:v>
      </x:c>
      <x:c r="C2" s="164"/>
      <x:c r="D2" s="164"/>
      <x:c r="E2" s="164"/>
      <x:c r="F2" s="164"/>
      <x:c r="G2" s="164"/>
      <x:c r="H2" s="164"/>
      <x:c r="I2" s="164"/>
      <x:c r="J2" s="164"/>
      <x:c r="K2" s="164"/>
      <x:c r="L2" s="164"/>
      <x:c r="M2" s="164"/>
      <x:c r="N2" s="164"/>
      <x:c r="O2" s="164"/>
      <x:c r="P2" s="164"/>
      <x:c r="Q2" s="164"/>
      <x:c r="R2" s="164"/>
      <x:c r="S2" s="164"/>
      <x:c r="T2" s="164"/>
      <x:c r="U2" s="164"/>
      <x:c r="V2" s="164"/>
      <x:c r="W2" s="164"/>
      <x:c r="X2" s="164"/>
      <x:c r="Y2" s="164"/>
    </x:row>
    <x:row r="3" ht="24" customHeight="1">
      <x:c r="B3" s="164" t="str">
        <x:v>Existing calendar retained in Part 1. Costs are negative. Leads are external before the global Part 2 substitution.</x:v>
      </x:c>
      <x:c r="C3" s="164"/>
      <x:c r="D3" s="164"/>
      <x:c r="E3" s="164"/>
      <x:c r="F3" s="164"/>
      <x:c r="G3" s="164"/>
      <x:c r="H3" s="164"/>
      <x:c r="I3" s="164"/>
      <x:c r="J3" s="164"/>
      <x:c r="K3" s="164"/>
      <x:c r="L3" s="164"/>
      <x:c r="M3" s="164"/>
      <x:c r="N3" s="164"/>
      <x:c r="O3" s="164"/>
      <x:c r="P3" s="164"/>
      <x:c r="Q3" s="164"/>
      <x:c r="R3" s="164"/>
      <x:c r="S3" s="164"/>
      <x:c r="T3" s="164"/>
      <x:c r="U3" s="164"/>
      <x:c r="V3" s="164"/>
      <x:c r="W3" s="164"/>
      <x:c r="X3" s="164"/>
      <x:c r="Y3" s="164"/>
    </x:row>
    <x:row r="4" ht="24" customHeight="1">
      <x:c r="B4" s="164" t="str">
        <x:v>Input sources: 06 Draft Program Plan B7:Q32; 01 Background Tables 1–2; 05 Operations Table 1; 07 Finance P5.</x:v>
      </x:c>
      <x:c r="C4" s="164"/>
      <x:c r="D4" s="164"/>
      <x:c r="E4" s="164"/>
      <x:c r="F4" s="164"/>
      <x:c r="G4" s="164"/>
      <x:c r="H4" s="164"/>
      <x:c r="I4" s="164"/>
      <x:c r="J4" s="164"/>
      <x:c r="K4" s="164"/>
      <x:c r="L4" s="164"/>
      <x:c r="M4" s="164"/>
      <x:c r="N4" s="164"/>
      <x:c r="O4" s="164"/>
      <x:c r="P4" s="164"/>
      <x:c r="Q4" s="164"/>
      <x:c r="R4" s="164"/>
      <x:c r="S4" s="164"/>
      <x:c r="T4" s="164"/>
      <x:c r="U4" s="164"/>
      <x:c r="V4" s="164"/>
      <x:c r="W4" s="164"/>
      <x:c r="X4" s="164"/>
      <x:c r="Y4" s="164"/>
    </x:row>
    <x:row r="5" ht="24" customHeight="1">
      <x:c r="B5" s="164"/>
      <x:c r="C5" s="164"/>
      <x:c r="D5" s="164"/>
      <x:c r="E5" s="164"/>
      <x:c r="F5" s="164"/>
      <x:c r="G5" s="164"/>
      <x:c r="H5" s="164"/>
      <x:c r="I5" s="164"/>
      <x:c r="J5" s="164"/>
      <x:c r="K5" s="164"/>
      <x:c r="L5" s="164"/>
      <x:c r="M5" s="164"/>
      <x:c r="N5" s="164"/>
      <x:c r="O5" s="164"/>
      <x:c r="P5" s="164"/>
      <x:c r="Q5" s="164"/>
      <x:c r="R5" s="164"/>
      <x:c r="S5" s="164"/>
      <x:c r="T5" s="164"/>
      <x:c r="U5" s="164"/>
      <x:c r="V5" s="164"/>
      <x:c r="W5" s="164"/>
      <x:c r="X5" s="164"/>
      <x:c r="Y5" s="164"/>
    </x:row>
    <x:row r="6" ht="48" customHeight="1">
      <x:c r="B6" s="202" t="str">
        <x:v>ID</x:v>
      </x:c>
      <x:c r="C6" s="202" t="str">
        <x:v>Month</x:v>
      </x:c>
      <x:c r="D6" s="202" t="str">
        <x:v>Source owner</x:v>
      </x:c>
      <x:c r="E6" s="202" t="str">
        <x:v>Client / event</x:v>
      </x:c>
      <x:c r="F6" s="202" t="str">
        <x:v>Type</x:v>
      </x:c>
      <x:c r="G6" s="202" t="str">
        <x:v>Days</x:v>
      </x:c>
      <x:c r="H6" s="202" t="str">
        <x:v>Participants</x:v>
      </x:c>
      <x:c r="I6" s="202" t="str">
        <x:v>Seat price</x:v>
      </x:c>
      <x:c r="J6" s="202" t="str">
        <x:v>Revenue</x:v>
      </x:c>
      <x:c r="K6" s="202" t="str">
        <x:v>Lead cost</x:v>
      </x:c>
      <x:c r="L6" s="202" t="str">
        <x:v>Assistants</x:v>
      </x:c>
      <x:c r="M6" s="202" t="str">
        <x:v>Assistant cost</x:v>
      </x:c>
      <x:c r="N6" s="202" t="str">
        <x:v>Venue</x:v>
      </x:c>
      <x:c r="O6" s="202" t="str">
        <x:v>Travel</x:v>
      </x:c>
      <x:c r="P6" s="202" t="str">
        <x:v>Materials</x:v>
      </x:c>
      <x:c r="Q6" s="202" t="str">
        <x:v>Ordinary commission</x:v>
      </x:c>
      <x:c r="R6" s="202" t="str">
        <x:v>Direct costs</x:v>
      </x:c>
      <x:c r="S6" s="202" t="str">
        <x:v>Contribution</x:v>
      </x:c>
      <x:c r="T6" s="202" t="str">
        <x:v>Margin</x:v>
      </x:c>
      <x:c r="U6" s="202" t="str">
        <x:v>Assistant person-days</x:v>
      </x:c>
      <x:c r="V6" s="202" t="str">
        <x:v>Regular possible days</x:v>
      </x:c>
      <x:c r="W6" s="202" t="str">
        <x:v>Extra person-days</x:v>
      </x:c>
      <x:c r="X6" s="202" t="str">
        <x:v>Delivery people</x:v>
      </x:c>
      <x:c r="Y6" s="202" t="str">
        <x:v>Extra assistants</x:v>
      </x:c>
    </x:row>
    <x:row r="7" ht="24" customHeight="1">
      <x:c r="B7" s="203" t="str">
        <x:f>'06 Draft Program Plan'!B7</x:f>
        <x:v>P01</x:v>
      </x:c>
      <x:c r="C7" s="203" t="str">
        <x:f>'06 Draft Program Plan'!C7</x:f>
        <x:v>Jan</x:v>
      </x:c>
      <x:c r="D7" s="203" t="str">
        <x:f>'06 Draft Program Plan'!D7</x:f>
        <x:v>Mark Pressure</x:v>
      </x:c>
      <x:c r="E7" s="203" t="str">
        <x:f>'06 Draft Program Plan'!E7</x:f>
        <x:v>Never Enough Calls Ltd</x:v>
      </x:c>
      <x:c r="F7" s="203" t="str">
        <x:f>'06 Draft Program Plan'!F7</x:f>
        <x:v>Standard corporate</x:v>
      </x:c>
      <x:c r="G7" s="196" t="n">
        <x:f>'06 Draft Program Plan'!G7</x:f>
        <x:v>2</x:v>
      </x:c>
      <x:c r="H7" s="196" t="n">
        <x:f>IF(F7="Open",MIN('06 Draft Program Plan'!H7,'14 Drivers'!$D$45,INDEX('15 P1 Workings'!$D$32:$O$32,1,MATCH(C7,'15 P1 Workings'!$D$6:$O$6,0))),'06 Draft Program Plan'!H7)</x:f>
        <x:v>20</x:v>
      </x:c>
      <x:c r="I7" s="175" t="n">
        <x:f>'06 Draft Program Plan'!I7</x:f>
        <x:v>0</x:v>
      </x:c>
      <x:c r="J7" s="175" t="n">
        <x:f>IF(F7="Open",H7*I7,IF(F7="Large corporate",('14 Drivers'!$D$22+ROUNDUP(MAX(0,H7-'14 Drivers'!$D$24)/'14 Drivers'!$D$25,0)*'14 Drivers'!$D$23)*G7,'14 Drivers'!$D$22*G7))</x:f>
        <x:v>5000</x:v>
      </x:c>
      <x:c r="K7" s="175" t="n">
        <x:f>-G7*INDEX('14 Drivers'!$D$9:$O$9,1,MATCH(C7,'14 Drivers'!$D$6:$O$6,0))</x:f>
        <x:v>-1400</x:v>
      </x:c>
      <x:c r="L7" s="196" t="n">
        <x:f>IF(F7="Large corporate",MAX(0,ROUNDUP(H7/'14 Drivers'!$D$27,0)-1),0)</x:f>
        <x:v>0</x:v>
      </x:c>
      <x:c r="M7" s="175" t="n">
        <x:f>-L7*G7*INDEX('14 Drivers'!$D$9:$O$9,1,MATCH(C7,'14 Drivers'!$D$6:$O$6,0))*'14 Drivers'!$D$30</x:f>
        <x:v>0</x:v>
      </x:c>
      <x:c r="N7" s="175" t="n">
        <x:f>-IF(F7="Open",G7*'14 Drivers'!$D$32,0)</x:f>
        <x:v>0</x:v>
      </x:c>
      <x:c r="O7" s="175" t="n">
        <x:f>-'06 Draft Program Plan'!O7</x:f>
        <x:v>0</x:v>
      </x:c>
      <x:c r="P7" s="175" t="n">
        <x:f>-H7*G7*'14 Drivers'!$D$31</x:f>
        <x:v>-600</x:v>
      </x:c>
      <x:c r="Q7" s="175" t="n">
        <x:f>-J7*'14 Drivers'!$D$33</x:f>
        <x:v>-250</x:v>
      </x:c>
      <x:c r="R7" s="174" t="n">
        <x:f>SUM(K7,M7:Q7)</x:f>
        <x:v>-2250</x:v>
      </x:c>
      <x:c r="S7" s="174" t="n">
        <x:f>SUM(J7,R7)</x:f>
        <x:v>2750</x:v>
      </x:c>
      <x:c r="T7" s="192" t="n">
        <x:f>IF(J7=0,"n.a.",S7/J7)</x:f>
        <x:v>0.55</x:v>
      </x:c>
      <x:c r="U7" s="179" t="n">
        <x:f>L7*G7</x:f>
        <x:v>0</x:v>
      </x:c>
      <x:c r="V7" s="196" t="n">
        <x:f>IF(L7&gt;0,MIN(G7,'14 Drivers'!$D$52),0)</x:f>
        <x:v>0</x:v>
      </x:c>
      <x:c r="W7" s="179" t="n">
        <x:f>U7-V7</x:f>
        <x:v>0</x:v>
      </x:c>
      <x:c r="X7" s="179" t="n">
        <x:f>1+L7</x:f>
        <x:v>1</x:v>
      </x:c>
      <x:c r="Y7" s="179" t="n">
        <x:f>MAX(0,L7-1)</x:f>
        <x:v>0</x:v>
      </x:c>
    </x:row>
    <x:row r="8" ht="24" customHeight="1">
      <x:c r="B8" s="203" t="str">
        <x:f>'06 Draft Program Plan'!B8</x:f>
        <x:v>P02</x:v>
      </x:c>
      <x:c r="C8" s="203" t="str">
        <x:f>'06 Draft Program Plan'!C8</x:f>
        <x:v>Jan</x:v>
      </x:c>
      <x:c r="D8" s="203" t="str">
        <x:f>'06 Draft Program Plan'!D8</x:f>
        <x:v>Linda Smile</x:v>
      </x:c>
      <x:c r="E8" s="203" t="str">
        <x:f>'06 Draft Program Plan'!E8</x:f>
        <x:v>How to Look Busy All Day</x:v>
      </x:c>
      <x:c r="F8" s="203" t="str">
        <x:f>'06 Draft Program Plan'!F8</x:f>
        <x:v>Open</x:v>
      </x:c>
      <x:c r="G8" s="196" t="n">
        <x:f>'06 Draft Program Plan'!G8</x:f>
        <x:v>1</x:v>
      </x:c>
      <x:c r="H8" s="196" t="n">
        <x:f>IF(F8="Open",MIN('06 Draft Program Plan'!H8,'14 Drivers'!$D$45,INDEX('15 P1 Workings'!$D$32:$O$32,1,MATCH(C8,'15 P1 Workings'!$D$6:$O$6,0))),'06 Draft Program Plan'!H8)</x:f>
        <x:v>14</x:v>
      </x:c>
      <x:c r="I8" s="175" t="n">
        <x:f>'06 Draft Program Plan'!I8</x:f>
        <x:v>200</x:v>
      </x:c>
      <x:c r="J8" s="175" t="n">
        <x:f>IF(F8="Open",H8*I8,IF(F8="Large corporate",('14 Drivers'!$D$22+ROUNDUP(MAX(0,H8-'14 Drivers'!$D$24)/'14 Drivers'!$D$25,0)*'14 Drivers'!$D$23)*G8,'14 Drivers'!$D$22*G8))</x:f>
        <x:v>2800</x:v>
      </x:c>
      <x:c r="K8" s="175" t="n">
        <x:f>-G8*INDEX('14 Drivers'!$D$9:$O$9,1,MATCH(C8,'14 Drivers'!$D$6:$O$6,0))</x:f>
        <x:v>-700</x:v>
      </x:c>
      <x:c r="L8" s="196" t="n">
        <x:f>IF(F8="Large corporate",MAX(0,ROUNDUP(H8/'14 Drivers'!$D$27,0)-1),0)</x:f>
        <x:v>0</x:v>
      </x:c>
      <x:c r="M8" s="175" t="n">
        <x:f>-L8*G8*INDEX('14 Drivers'!$D$9:$O$9,1,MATCH(C8,'14 Drivers'!$D$6:$O$6,0))*'14 Drivers'!$D$30</x:f>
        <x:v>0</x:v>
      </x:c>
      <x:c r="N8" s="175" t="n">
        <x:f>-IF(F8="Open",G8*'14 Drivers'!$D$32,0)</x:f>
        <x:v>-600</x:v>
      </x:c>
      <x:c r="O8" s="175" t="n">
        <x:f>-'06 Draft Program Plan'!O8</x:f>
        <x:v>0</x:v>
      </x:c>
      <x:c r="P8" s="175" t="n">
        <x:f>-H8*G8*'14 Drivers'!$D$31</x:f>
        <x:v>-210</x:v>
      </x:c>
      <x:c r="Q8" s="175" t="n">
        <x:f>-J8*'14 Drivers'!$D$33</x:f>
        <x:v>-140</x:v>
      </x:c>
      <x:c r="R8" s="174" t="n">
        <x:f>SUM(K8,M8:Q8)</x:f>
        <x:v>-1650</x:v>
      </x:c>
      <x:c r="S8" s="174" t="n">
        <x:f>SUM(J8,R8)</x:f>
        <x:v>1150</x:v>
      </x:c>
      <x:c r="T8" s="192" t="n">
        <x:f>IF(J8=0,"n.a.",S8/J8)</x:f>
        <x:v>0.4107142857142857</x:v>
      </x:c>
      <x:c r="U8" s="179" t="n">
        <x:f>L8*G8</x:f>
        <x:v>0</x:v>
      </x:c>
      <x:c r="V8" s="196" t="n">
        <x:f>IF(L8&gt;0,MIN(G8,'14 Drivers'!$D$52),0)</x:f>
        <x:v>0</x:v>
      </x:c>
      <x:c r="W8" s="179" t="n">
        <x:f>U8-V8</x:f>
        <x:v>0</x:v>
      </x:c>
      <x:c r="X8" s="179" t="n">
        <x:f>1+L8</x:f>
        <x:v>1</x:v>
      </x:c>
      <x:c r="Y8" s="179" t="n">
        <x:f>MAX(0,L8-1)</x:f>
        <x:v>0</x:v>
      </x:c>
    </x:row>
    <x:row r="9" ht="24" customHeight="1">
      <x:c r="B9" s="203" t="str">
        <x:f>'06 Draft Program Plan'!B9</x:f>
        <x:v>P03</x:v>
      </x:c>
      <x:c r="C9" s="203" t="str">
        <x:f>'06 Draft Program Plan'!C9</x:f>
        <x:v>Feb</x:v>
      </x:c>
      <x:c r="D9" s="203" t="str">
        <x:f>'06 Draft Program Plan'!D9</x:f>
        <x:v>Anna Power</x:v>
      </x:c>
      <x:c r="E9" s="203" t="str">
        <x:f>'06 Draft Program Plan'!E9</x:f>
        <x:v>Big Chair Bank</x:v>
      </x:c>
      <x:c r="F9" s="203" t="str">
        <x:f>'06 Draft Program Plan'!F9</x:f>
        <x:v>Large corporate</x:v>
      </x:c>
      <x:c r="G9" s="196" t="n">
        <x:f>'06 Draft Program Plan'!G9</x:f>
        <x:v>2</x:v>
      </x:c>
      <x:c r="H9" s="196" t="n">
        <x:f>IF(F9="Open",MIN('06 Draft Program Plan'!H9,'14 Drivers'!$D$45,INDEX('15 P1 Workings'!$D$32:$O$32,1,MATCH(C9,'15 P1 Workings'!$D$6:$O$6,0))),'06 Draft Program Plan'!H9)</x:f>
        <x:v>60</x:v>
      </x:c>
      <x:c r="I9" s="175" t="n">
        <x:f>'06 Draft Program Plan'!I9</x:f>
        <x:v>0</x:v>
      </x:c>
      <x:c r="J9" s="175" t="n">
        <x:f>IF(F9="Open",H9*I9,IF(F9="Large corporate",('14 Drivers'!$D$22+ROUNDUP(MAX(0,H9-'14 Drivers'!$D$24)/'14 Drivers'!$D$25,0)*'14 Drivers'!$D$23)*G9,'14 Drivers'!$D$22*G9))</x:f>
        <x:v>10200</x:v>
      </x:c>
      <x:c r="K9" s="175" t="n">
        <x:f>-G9*INDEX('14 Drivers'!$D$9:$O$9,1,MATCH(C9,'14 Drivers'!$D$6:$O$6,0))</x:f>
        <x:v>-1400</x:v>
      </x:c>
      <x:c r="L9" s="196" t="n">
        <x:f>IF(F9="Large corporate",MAX(0,ROUNDUP(H9/'14 Drivers'!$D$27,0)-1),0)</x:f>
        <x:v>1</x:v>
      </x:c>
      <x:c r="M9" s="175" t="n">
        <x:f>-L9*G9*INDEX('14 Drivers'!$D$9:$O$9,1,MATCH(C9,'14 Drivers'!$D$6:$O$6,0))*'14 Drivers'!$D$30</x:f>
        <x:v>-350</x:v>
      </x:c>
      <x:c r="N9" s="175" t="n">
        <x:f>-IF(F9="Open",G9*'14 Drivers'!$D$32,0)</x:f>
        <x:v>0</x:v>
      </x:c>
      <x:c r="O9" s="175" t="n">
        <x:f>-'06 Draft Program Plan'!O9</x:f>
        <x:v>-800</x:v>
      </x:c>
      <x:c r="P9" s="175" t="n">
        <x:f>-H9*G9*'14 Drivers'!$D$31</x:f>
        <x:v>-1800</x:v>
      </x:c>
      <x:c r="Q9" s="175" t="n">
        <x:f>-J9*'14 Drivers'!$D$33</x:f>
        <x:v>-510</x:v>
      </x:c>
      <x:c r="R9" s="174" t="n">
        <x:f>SUM(K9,M9:Q9)</x:f>
        <x:v>-4860</x:v>
      </x:c>
      <x:c r="S9" s="174" t="n">
        <x:f>SUM(J9,R9)</x:f>
        <x:v>5340</x:v>
      </x:c>
      <x:c r="T9" s="192" t="n">
        <x:f>IF(J9=0,"n.a.",S9/J9)</x:f>
        <x:v>0.5235294117647059</x:v>
      </x:c>
      <x:c r="U9" s="179" t="n">
        <x:f>L9*G9</x:f>
        <x:v>2</x:v>
      </x:c>
      <x:c r="V9" s="196" t="n">
        <x:f>IF(L9&gt;0,MIN(G9,'14 Drivers'!$D$52),0)</x:f>
        <x:v>2</x:v>
      </x:c>
      <x:c r="W9" s="179" t="n">
        <x:f>U9-V9</x:f>
        <x:v>0</x:v>
      </x:c>
      <x:c r="X9" s="179" t="n">
        <x:f>1+L9</x:f>
        <x:v>2</x:v>
      </x:c>
      <x:c r="Y9" s="179" t="n">
        <x:f>MAX(0,L9-1)</x:f>
        <x:v>0</x:v>
      </x:c>
    </x:row>
    <x:row r="10" ht="24" customHeight="1">
      <x:c r="B10" s="203" t="str">
        <x:f>'06 Draft Program Plan'!B10</x:f>
        <x:v>P04</x:v>
      </x:c>
      <x:c r="C10" s="203" t="str">
        <x:f>'06 Draft Program Plan'!C10</x:f>
        <x:v>Feb</x:v>
      </x:c>
      <x:c r="D10" s="203" t="str">
        <x:f>'06 Draft Program Plan'!D10</x:f>
        <x:v>Peter Late</x:v>
      </x:c>
      <x:c r="E10" s="203" t="str">
        <x:f>'06 Draft Program Plan'!E10</x:f>
        <x:v>Meetings About Meetings</x:v>
      </x:c>
      <x:c r="F10" s="203" t="str">
        <x:f>'06 Draft Program Plan'!F10</x:f>
        <x:v>Standard corporate</x:v>
      </x:c>
      <x:c r="G10" s="196" t="n">
        <x:f>'06 Draft Program Plan'!G10</x:f>
        <x:v>1</x:v>
      </x:c>
      <x:c r="H10" s="196" t="n">
        <x:f>IF(F10="Open",MIN('06 Draft Program Plan'!H10,'14 Drivers'!$D$45,INDEX('15 P1 Workings'!$D$32:$O$32,1,MATCH(C10,'15 P1 Workings'!$D$6:$O$6,0))),'06 Draft Program Plan'!H10)</x:f>
        <x:v>18</x:v>
      </x:c>
      <x:c r="I10" s="175" t="n">
        <x:f>'06 Draft Program Plan'!I10</x:f>
        <x:v>0</x:v>
      </x:c>
      <x:c r="J10" s="175" t="n">
        <x:f>IF(F10="Open",H10*I10,IF(F10="Large corporate",('14 Drivers'!$D$22+ROUNDUP(MAX(0,H10-'14 Drivers'!$D$24)/'14 Drivers'!$D$25,0)*'14 Drivers'!$D$23)*G10,'14 Drivers'!$D$22*G10))</x:f>
        <x:v>2500</x:v>
      </x:c>
      <x:c r="K10" s="175" t="n">
        <x:f>-G10*INDEX('14 Drivers'!$D$9:$O$9,1,MATCH(C10,'14 Drivers'!$D$6:$O$6,0))</x:f>
        <x:v>-700</x:v>
      </x:c>
      <x:c r="L10" s="196" t="n">
        <x:f>IF(F10="Large corporate",MAX(0,ROUNDUP(H10/'14 Drivers'!$D$27,0)-1),0)</x:f>
        <x:v>0</x:v>
      </x:c>
      <x:c r="M10" s="175" t="n">
        <x:f>-L10*G10*INDEX('14 Drivers'!$D$9:$O$9,1,MATCH(C10,'14 Drivers'!$D$6:$O$6,0))*'14 Drivers'!$D$30</x:f>
        <x:v>0</x:v>
      </x:c>
      <x:c r="N10" s="175" t="n">
        <x:f>-IF(F10="Open",G10*'14 Drivers'!$D$32,0)</x:f>
        <x:v>0</x:v>
      </x:c>
      <x:c r="O10" s="175" t="n">
        <x:f>-'06 Draft Program Plan'!O10</x:f>
        <x:v>0</x:v>
      </x:c>
      <x:c r="P10" s="175" t="n">
        <x:f>-H10*G10*'14 Drivers'!$D$31</x:f>
        <x:v>-270</x:v>
      </x:c>
      <x:c r="Q10" s="175" t="n">
        <x:f>-J10*'14 Drivers'!$D$33</x:f>
        <x:v>-125</x:v>
      </x:c>
      <x:c r="R10" s="174" t="n">
        <x:f>SUM(K10,M10:Q10)</x:f>
        <x:v>-1095</x:v>
      </x:c>
      <x:c r="S10" s="174" t="n">
        <x:f>SUM(J10,R10)</x:f>
        <x:v>1405</x:v>
      </x:c>
      <x:c r="T10" s="192" t="n">
        <x:f>IF(J10=0,"n.a.",S10/J10)</x:f>
        <x:v>0.562</x:v>
      </x:c>
      <x:c r="U10" s="179" t="n">
        <x:f>L10*G10</x:f>
        <x:v>0</x:v>
      </x:c>
      <x:c r="V10" s="196" t="n">
        <x:f>IF(L10&gt;0,MIN(G10,'14 Drivers'!$D$52),0)</x:f>
        <x:v>0</x:v>
      </x:c>
      <x:c r="W10" s="179" t="n">
        <x:f>U10-V10</x:f>
        <x:v>0</x:v>
      </x:c>
      <x:c r="X10" s="179" t="n">
        <x:f>1+L10</x:f>
        <x:v>1</x:v>
      </x:c>
      <x:c r="Y10" s="179" t="n">
        <x:f>MAX(0,L10-1)</x:f>
        <x:v>0</x:v>
      </x:c>
    </x:row>
    <x:row r="11" ht="24" customHeight="1">
      <x:c r="B11" s="203" t="str">
        <x:f>'06 Draft Program Plan'!B11</x:f>
        <x:v>P05</x:v>
      </x:c>
      <x:c r="C11" s="203" t="str">
        <x:f>'06 Draft Program Plan'!C11</x:f>
        <x:v>Mar</x:v>
      </x:c>
      <x:c r="D11" s="203" t="str">
        <x:f>'06 Draft Program Plan'!D11</x:f>
        <x:v>Anna Power</x:v>
      </x:c>
      <x:c r="E11" s="203" t="str">
        <x:f>'06 Draft Program Plan'!E11</x:f>
        <x:v>Credit for Other People's Work</x:v>
      </x:c>
      <x:c r="F11" s="203" t="str">
        <x:f>'06 Draft Program Plan'!F11</x:f>
        <x:v>Standard corporate</x:v>
      </x:c>
      <x:c r="G11" s="196" t="n">
        <x:f>'06 Draft Program Plan'!G11</x:f>
        <x:v>2</x:v>
      </x:c>
      <x:c r="H11" s="196" t="n">
        <x:f>IF(F11="Open",MIN('06 Draft Program Plan'!H11,'14 Drivers'!$D$45,INDEX('15 P1 Workings'!$D$32:$O$32,1,MATCH(C11,'15 P1 Workings'!$D$6:$O$6,0))),'06 Draft Program Plan'!H11)</x:f>
        <x:v>20</x:v>
      </x:c>
      <x:c r="I11" s="175" t="n">
        <x:f>'06 Draft Program Plan'!I11</x:f>
        <x:v>0</x:v>
      </x:c>
      <x:c r="J11" s="175" t="n">
        <x:f>IF(F11="Open",H11*I11,IF(F11="Large corporate",('14 Drivers'!$D$22+ROUNDUP(MAX(0,H11-'14 Drivers'!$D$24)/'14 Drivers'!$D$25,0)*'14 Drivers'!$D$23)*G11,'14 Drivers'!$D$22*G11))</x:f>
        <x:v>5000</x:v>
      </x:c>
      <x:c r="K11" s="175" t="n">
        <x:f>-G11*INDEX('14 Drivers'!$D$9:$O$9,1,MATCH(C11,'14 Drivers'!$D$6:$O$6,0))</x:f>
        <x:v>-1400</x:v>
      </x:c>
      <x:c r="L11" s="196" t="n">
        <x:f>IF(F11="Large corporate",MAX(0,ROUNDUP(H11/'14 Drivers'!$D$27,0)-1),0)</x:f>
        <x:v>0</x:v>
      </x:c>
      <x:c r="M11" s="175" t="n">
        <x:f>-L11*G11*INDEX('14 Drivers'!$D$9:$O$9,1,MATCH(C11,'14 Drivers'!$D$6:$O$6,0))*'14 Drivers'!$D$30</x:f>
        <x:v>0</x:v>
      </x:c>
      <x:c r="N11" s="175" t="n">
        <x:f>-IF(F11="Open",G11*'14 Drivers'!$D$32,0)</x:f>
        <x:v>0</x:v>
      </x:c>
      <x:c r="O11" s="175" t="n">
        <x:f>-'06 Draft Program Plan'!O11</x:f>
        <x:v>-300</x:v>
      </x:c>
      <x:c r="P11" s="175" t="n">
        <x:f>-H11*G11*'14 Drivers'!$D$31</x:f>
        <x:v>-600</x:v>
      </x:c>
      <x:c r="Q11" s="175" t="n">
        <x:f>-J11*'14 Drivers'!$D$33</x:f>
        <x:v>-250</x:v>
      </x:c>
      <x:c r="R11" s="174" t="n">
        <x:f>SUM(K11,M11:Q11)</x:f>
        <x:v>-2550</x:v>
      </x:c>
      <x:c r="S11" s="174" t="n">
        <x:f>SUM(J11,R11)</x:f>
        <x:v>2450</x:v>
      </x:c>
      <x:c r="T11" s="192" t="n">
        <x:f>IF(J11=0,"n.a.",S11/J11)</x:f>
        <x:v>0.49</x:v>
      </x:c>
      <x:c r="U11" s="179" t="n">
        <x:f>L11*G11</x:f>
        <x:v>0</x:v>
      </x:c>
      <x:c r="V11" s="196" t="n">
        <x:f>IF(L11&gt;0,MIN(G11,'14 Drivers'!$D$52),0)</x:f>
        <x:v>0</x:v>
      </x:c>
      <x:c r="W11" s="179" t="n">
        <x:f>U11-V11</x:f>
        <x:v>0</x:v>
      </x:c>
      <x:c r="X11" s="179" t="n">
        <x:f>1+L11</x:f>
        <x:v>1</x:v>
      </x:c>
      <x:c r="Y11" s="179" t="n">
        <x:f>MAX(0,L11-1)</x:f>
        <x:v>0</x:v>
      </x:c>
    </x:row>
    <x:row r="12" ht="24" customHeight="1">
      <x:c r="B12" s="203" t="str">
        <x:f>'06 Draft Program Plan'!B12</x:f>
        <x:v>P06</x:v>
      </x:c>
      <x:c r="C12" s="203" t="str">
        <x:f>'06 Draft Program Plan'!C12</x:f>
        <x:v>Mar</x:v>
      </x:c>
      <x:c r="D12" s="203" t="str">
        <x:f>'06 Draft Program Plan'!D12</x:f>
        <x:v>Linda Smile</x:v>
      </x:c>
      <x:c r="E12" s="203" t="str">
        <x:f>'06 Draft Program Plan'!E12</x:f>
        <x:v>Advanced Micromanagement</x:v>
      </x:c>
      <x:c r="F12" s="203" t="str">
        <x:f>'06 Draft Program Plan'!F12</x:f>
        <x:v>Open</x:v>
      </x:c>
      <x:c r="G12" s="196" t="n">
        <x:f>'06 Draft Program Plan'!G12</x:f>
        <x:v>2</x:v>
      </x:c>
      <x:c r="H12" s="196" t="n">
        <x:f>IF(F12="Open",MIN('06 Draft Program Plan'!H12,'14 Drivers'!$D$45,INDEX('15 P1 Workings'!$D$32:$O$32,1,MATCH(C12,'15 P1 Workings'!$D$6:$O$6,0))),'06 Draft Program Plan'!H12)</x:f>
        <x:v>14</x:v>
      </x:c>
      <x:c r="I12" s="175" t="n">
        <x:f>'06 Draft Program Plan'!I12</x:f>
        <x:v>500</x:v>
      </x:c>
      <x:c r="J12" s="175" t="n">
        <x:f>IF(F12="Open",H12*I12,IF(F12="Large corporate",('14 Drivers'!$D$22+ROUNDUP(MAX(0,H12-'14 Drivers'!$D$24)/'14 Drivers'!$D$25,0)*'14 Drivers'!$D$23)*G12,'14 Drivers'!$D$22*G12))</x:f>
        <x:v>7000</x:v>
      </x:c>
      <x:c r="K12" s="175" t="n">
        <x:f>-G12*INDEX('14 Drivers'!$D$9:$O$9,1,MATCH(C12,'14 Drivers'!$D$6:$O$6,0))</x:f>
        <x:v>-1400</x:v>
      </x:c>
      <x:c r="L12" s="196" t="n">
        <x:f>IF(F12="Large corporate",MAX(0,ROUNDUP(H12/'14 Drivers'!$D$27,0)-1),0)</x:f>
        <x:v>0</x:v>
      </x:c>
      <x:c r="M12" s="175" t="n">
        <x:f>-L12*G12*INDEX('14 Drivers'!$D$9:$O$9,1,MATCH(C12,'14 Drivers'!$D$6:$O$6,0))*'14 Drivers'!$D$30</x:f>
        <x:v>0</x:v>
      </x:c>
      <x:c r="N12" s="175" t="n">
        <x:f>-IF(F12="Open",G12*'14 Drivers'!$D$32,0)</x:f>
        <x:v>-1200</x:v>
      </x:c>
      <x:c r="O12" s="175" t="n">
        <x:f>-'06 Draft Program Plan'!O12</x:f>
        <x:v>0</x:v>
      </x:c>
      <x:c r="P12" s="175" t="n">
        <x:f>-H12*G12*'14 Drivers'!$D$31</x:f>
        <x:v>-420</x:v>
      </x:c>
      <x:c r="Q12" s="175" t="n">
        <x:f>-J12*'14 Drivers'!$D$33</x:f>
        <x:v>-350</x:v>
      </x:c>
      <x:c r="R12" s="174" t="n">
        <x:f>SUM(K12,M12:Q12)</x:f>
        <x:v>-3370</x:v>
      </x:c>
      <x:c r="S12" s="174" t="n">
        <x:f>SUM(J12,R12)</x:f>
        <x:v>3630</x:v>
      </x:c>
      <x:c r="T12" s="192" t="n">
        <x:f>IF(J12=0,"n.a.",S12/J12)</x:f>
        <x:v>0.5185714285714286</x:v>
      </x:c>
      <x:c r="U12" s="179" t="n">
        <x:f>L12*G12</x:f>
        <x:v>0</x:v>
      </x:c>
      <x:c r="V12" s="196" t="n">
        <x:f>IF(L12&gt;0,MIN(G12,'14 Drivers'!$D$52),0)</x:f>
        <x:v>0</x:v>
      </x:c>
      <x:c r="W12" s="179" t="n">
        <x:f>U12-V12</x:f>
        <x:v>0</x:v>
      </x:c>
      <x:c r="X12" s="179" t="n">
        <x:f>1+L12</x:f>
        <x:v>1</x:v>
      </x:c>
      <x:c r="Y12" s="179" t="n">
        <x:f>MAX(0,L12-1)</x:f>
        <x:v>0</x:v>
      </x:c>
    </x:row>
    <x:row r="13" ht="24" customHeight="1">
      <x:c r="B13" s="203" t="str">
        <x:f>'06 Draft Program Plan'!B13</x:f>
        <x:v>P07</x:v>
      </x:c>
      <x:c r="C13" s="203" t="str">
        <x:f>'06 Draft Program Plan'!C13</x:f>
        <x:v>Apr</x:v>
      </x:c>
      <x:c r="D13" s="203" t="str">
        <x:f>'06 Draft Program Plan'!D13</x:f>
        <x:v>Mark Pressure</x:v>
      </x:c>
      <x:c r="E13" s="203" t="str">
        <x:f>'06 Draft Program Plan'!E13</x:f>
        <x:v>Call Until They Buy</x:v>
      </x:c>
      <x:c r="F13" s="203" t="str">
        <x:f>'06 Draft Program Plan'!F13</x:f>
        <x:v>Standard corporate</x:v>
      </x:c>
      <x:c r="G13" s="196" t="n">
        <x:f>'06 Draft Program Plan'!G13</x:f>
        <x:v>2</x:v>
      </x:c>
      <x:c r="H13" s="196" t="n">
        <x:f>IF(F13="Open",MIN('06 Draft Program Plan'!H13,'14 Drivers'!$D$45,INDEX('15 P1 Workings'!$D$32:$O$32,1,MATCH(C13,'15 P1 Workings'!$D$6:$O$6,0))),'06 Draft Program Plan'!H13)</x:f>
        <x:v>20</x:v>
      </x:c>
      <x:c r="I13" s="175" t="n">
        <x:f>'06 Draft Program Plan'!I13</x:f>
        <x:v>0</x:v>
      </x:c>
      <x:c r="J13" s="175" t="n">
        <x:f>IF(F13="Open",H13*I13,IF(F13="Large corporate",('14 Drivers'!$D$22+ROUNDUP(MAX(0,H13-'14 Drivers'!$D$24)/'14 Drivers'!$D$25,0)*'14 Drivers'!$D$23)*G13,'14 Drivers'!$D$22*G13))</x:f>
        <x:v>5000</x:v>
      </x:c>
      <x:c r="K13" s="175" t="n">
        <x:f>-G13*INDEX('14 Drivers'!$D$9:$O$9,1,MATCH(C13,'14 Drivers'!$D$6:$O$6,0))</x:f>
        <x:v>-1400</x:v>
      </x:c>
      <x:c r="L13" s="196" t="n">
        <x:f>IF(F13="Large corporate",MAX(0,ROUNDUP(H13/'14 Drivers'!$D$27,0)-1),0)</x:f>
        <x:v>0</x:v>
      </x:c>
      <x:c r="M13" s="175" t="n">
        <x:f>-L13*G13*INDEX('14 Drivers'!$D$9:$O$9,1,MATCH(C13,'14 Drivers'!$D$6:$O$6,0))*'14 Drivers'!$D$30</x:f>
        <x:v>0</x:v>
      </x:c>
      <x:c r="N13" s="175" t="n">
        <x:f>-IF(F13="Open",G13*'14 Drivers'!$D$32,0)</x:f>
        <x:v>0</x:v>
      </x:c>
      <x:c r="O13" s="175" t="n">
        <x:f>-'06 Draft Program Plan'!O13</x:f>
        <x:v>-250</x:v>
      </x:c>
      <x:c r="P13" s="175" t="n">
        <x:f>-H13*G13*'14 Drivers'!$D$31</x:f>
        <x:v>-600</x:v>
      </x:c>
      <x:c r="Q13" s="175" t="n">
        <x:f>-J13*'14 Drivers'!$D$33</x:f>
        <x:v>-250</x:v>
      </x:c>
      <x:c r="R13" s="174" t="n">
        <x:f>SUM(K13,M13:Q13)</x:f>
        <x:v>-2500</x:v>
      </x:c>
      <x:c r="S13" s="174" t="n">
        <x:f>SUM(J13,R13)</x:f>
        <x:v>2500</x:v>
      </x:c>
      <x:c r="T13" s="192" t="n">
        <x:f>IF(J13=0,"n.a.",S13/J13)</x:f>
        <x:v>0.5</x:v>
      </x:c>
      <x:c r="U13" s="179" t="n">
        <x:f>L13*G13</x:f>
        <x:v>0</x:v>
      </x:c>
      <x:c r="V13" s="196" t="n">
        <x:f>IF(L13&gt;0,MIN(G13,'14 Drivers'!$D$52),0)</x:f>
        <x:v>0</x:v>
      </x:c>
      <x:c r="W13" s="179" t="n">
        <x:f>U13-V13</x:f>
        <x:v>0</x:v>
      </x:c>
      <x:c r="X13" s="179" t="n">
        <x:f>1+L13</x:f>
        <x:v>1</x:v>
      </x:c>
      <x:c r="Y13" s="179" t="n">
        <x:f>MAX(0,L13-1)</x:f>
        <x:v>0</x:v>
      </x:c>
    </x:row>
    <x:row r="14" ht="24" customHeight="1">
      <x:c r="B14" s="203" t="str">
        <x:f>'06 Draft Program Plan'!B14</x:f>
        <x:v>P08</x:v>
      </x:c>
      <x:c r="C14" s="203" t="str">
        <x:f>'06 Draft Program Plan'!C14</x:f>
        <x:v>Apr</x:v>
      </x:c>
      <x:c r="D14" s="203" t="str">
        <x:f>'06 Draft Program Plan'!D14</x:f>
        <x:v>Peter Late</x:v>
      </x:c>
      <x:c r="E14" s="203" t="str">
        <x:f>'06 Draft Program Plan'!E14</x:f>
        <x:v>Promise First Ask Later</x:v>
      </x:c>
      <x:c r="F14" s="203" t="str">
        <x:f>'06 Draft Program Plan'!F14</x:f>
        <x:v>Large corporate</x:v>
      </x:c>
      <x:c r="G14" s="196" t="n">
        <x:f>'06 Draft Program Plan'!G14</x:f>
        <x:v>1</x:v>
      </x:c>
      <x:c r="H14" s="196" t="n">
        <x:f>IF(F14="Open",MIN('06 Draft Program Plan'!H14,'14 Drivers'!$D$45,INDEX('15 P1 Workings'!$D$32:$O$32,1,MATCH(C14,'15 P1 Workings'!$D$6:$O$6,0))),'06 Draft Program Plan'!H14)</x:f>
        <x:v>90</x:v>
      </x:c>
      <x:c r="I14" s="175" t="n">
        <x:f>'06 Draft Program Plan'!I14</x:f>
        <x:v>0</x:v>
      </x:c>
      <x:c r="J14" s="175" t="n">
        <x:f>IF(F14="Open",H14*I14,IF(F14="Large corporate",('14 Drivers'!$D$22+ROUNDUP(MAX(0,H14-'14 Drivers'!$D$24)/'14 Drivers'!$D$25,0)*'14 Drivers'!$D$23)*G14,'14 Drivers'!$D$22*G14))</x:f>
        <x:v>7050</x:v>
      </x:c>
      <x:c r="K14" s="175" t="n">
        <x:f>-G14*INDEX('14 Drivers'!$D$9:$O$9,1,MATCH(C14,'14 Drivers'!$D$6:$O$6,0))</x:f>
        <x:v>-700</x:v>
      </x:c>
      <x:c r="L14" s="196" t="n">
        <x:f>IF(F14="Large corporate",MAX(0,ROUNDUP(H14/'14 Drivers'!$D$27,0)-1),0)</x:f>
        <x:v>2</x:v>
      </x:c>
      <x:c r="M14" s="175" t="n">
        <x:f>-L14*G14*INDEX('14 Drivers'!$D$9:$O$9,1,MATCH(C14,'14 Drivers'!$D$6:$O$6,0))*'14 Drivers'!$D$30</x:f>
        <x:v>-350</x:v>
      </x:c>
      <x:c r="N14" s="175" t="n">
        <x:f>-IF(F14="Open",G14*'14 Drivers'!$D$32,0)</x:f>
        <x:v>0</x:v>
      </x:c>
      <x:c r="O14" s="175" t="n">
        <x:f>-'06 Draft Program Plan'!O14</x:f>
        <x:v>-900</x:v>
      </x:c>
      <x:c r="P14" s="175" t="n">
        <x:f>-H14*G14*'14 Drivers'!$D$31</x:f>
        <x:v>-1350</x:v>
      </x:c>
      <x:c r="Q14" s="175" t="n">
        <x:f>-J14*'14 Drivers'!$D$33</x:f>
        <x:v>-352.5</x:v>
      </x:c>
      <x:c r="R14" s="174" t="n">
        <x:f>SUM(K14,M14:Q14)</x:f>
        <x:v>-3652.5</x:v>
      </x:c>
      <x:c r="S14" s="174" t="n">
        <x:f>SUM(J14,R14)</x:f>
        <x:v>3397.5</x:v>
      </x:c>
      <x:c r="T14" s="192" t="n">
        <x:f>IF(J14=0,"n.a.",S14/J14)</x:f>
        <x:v>0.4819148936170213</x:v>
      </x:c>
      <x:c r="U14" s="179" t="n">
        <x:f>L14*G14</x:f>
        <x:v>2</x:v>
      </x:c>
      <x:c r="V14" s="196" t="n">
        <x:f>IF(L14&gt;0,MIN(G14,'14 Drivers'!$D$52),0)</x:f>
        <x:v>1</x:v>
      </x:c>
      <x:c r="W14" s="179" t="n">
        <x:f>U14-V14</x:f>
        <x:v>1</x:v>
      </x:c>
      <x:c r="X14" s="179" t="n">
        <x:f>1+L14</x:f>
        <x:v>3</x:v>
      </x:c>
      <x:c r="Y14" s="179" t="n">
        <x:f>MAX(0,L14-1)</x:f>
        <x:v>1</x:v>
      </x:c>
    </x:row>
    <x:row r="15" ht="24" customHeight="1">
      <x:c r="B15" s="203" t="str">
        <x:f>'06 Draft Program Plan'!B15</x:f>
        <x:v>P09</x:v>
      </x:c>
      <x:c r="C15" s="203" t="str">
        <x:f>'06 Draft Program Plan'!C15</x:f>
        <x:v>May</x:v>
      </x:c>
      <x:c r="D15" s="203" t="str">
        <x:f>'06 Draft Program Plan'!D15</x:f>
        <x:v>Anna Power</x:v>
      </x:c>
      <x:c r="E15" s="203" t="str">
        <x:f>'06 Draft Program Plan'!E15</x:f>
        <x:v>Professional Blame Delegation</x:v>
      </x:c>
      <x:c r="F15" s="203" t="str">
        <x:f>'06 Draft Program Plan'!F15</x:f>
        <x:v>Standard corporate</x:v>
      </x:c>
      <x:c r="G15" s="196" t="n">
        <x:f>'06 Draft Program Plan'!G15</x:f>
        <x:v>1</x:v>
      </x:c>
      <x:c r="H15" s="196" t="n">
        <x:f>IF(F15="Open",MIN('06 Draft Program Plan'!H15,'14 Drivers'!$D$45,INDEX('15 P1 Workings'!$D$32:$O$32,1,MATCH(C15,'15 P1 Workings'!$D$6:$O$6,0))),'06 Draft Program Plan'!H15)</x:f>
        <x:v>20</x:v>
      </x:c>
      <x:c r="I15" s="175" t="n">
        <x:f>'06 Draft Program Plan'!I15</x:f>
        <x:v>0</x:v>
      </x:c>
      <x:c r="J15" s="175" t="n">
        <x:f>IF(F15="Open",H15*I15,IF(F15="Large corporate",('14 Drivers'!$D$22+ROUNDUP(MAX(0,H15-'14 Drivers'!$D$24)/'14 Drivers'!$D$25,0)*'14 Drivers'!$D$23)*G15,'14 Drivers'!$D$22*G15))</x:f>
        <x:v>2500</x:v>
      </x:c>
      <x:c r="K15" s="175" t="n">
        <x:f>-G15*INDEX('14 Drivers'!$D$9:$O$9,1,MATCH(C15,'14 Drivers'!$D$6:$O$6,0))</x:f>
        <x:v>-700</x:v>
      </x:c>
      <x:c r="L15" s="196" t="n">
        <x:f>IF(F15="Large corporate",MAX(0,ROUNDUP(H15/'14 Drivers'!$D$27,0)-1),0)</x:f>
        <x:v>0</x:v>
      </x:c>
      <x:c r="M15" s="175" t="n">
        <x:f>-L15*G15*INDEX('14 Drivers'!$D$9:$O$9,1,MATCH(C15,'14 Drivers'!$D$6:$O$6,0))*'14 Drivers'!$D$30</x:f>
        <x:v>0</x:v>
      </x:c>
      <x:c r="N15" s="175" t="n">
        <x:f>-IF(F15="Open",G15*'14 Drivers'!$D$32,0)</x:f>
        <x:v>0</x:v>
      </x:c>
      <x:c r="O15" s="175" t="n">
        <x:f>-'06 Draft Program Plan'!O15</x:f>
        <x:v>0</x:v>
      </x:c>
      <x:c r="P15" s="175" t="n">
        <x:f>-H15*G15*'14 Drivers'!$D$31</x:f>
        <x:v>-300</x:v>
      </x:c>
      <x:c r="Q15" s="175" t="n">
        <x:f>-J15*'14 Drivers'!$D$33</x:f>
        <x:v>-125</x:v>
      </x:c>
      <x:c r="R15" s="174" t="n">
        <x:f>SUM(K15,M15:Q15)</x:f>
        <x:v>-1125</x:v>
      </x:c>
      <x:c r="S15" s="174" t="n">
        <x:f>SUM(J15,R15)</x:f>
        <x:v>1375</x:v>
      </x:c>
      <x:c r="T15" s="192" t="n">
        <x:f>IF(J15=0,"n.a.",S15/J15)</x:f>
        <x:v>0.55</x:v>
      </x:c>
      <x:c r="U15" s="179" t="n">
        <x:f>L15*G15</x:f>
        <x:v>0</x:v>
      </x:c>
      <x:c r="V15" s="196" t="n">
        <x:f>IF(L15&gt;0,MIN(G15,'14 Drivers'!$D$52),0)</x:f>
        <x:v>0</x:v>
      </x:c>
      <x:c r="W15" s="179" t="n">
        <x:f>U15-V15</x:f>
        <x:v>0</x:v>
      </x:c>
      <x:c r="X15" s="179" t="n">
        <x:f>1+L15</x:f>
        <x:v>1</x:v>
      </x:c>
      <x:c r="Y15" s="179" t="n">
        <x:f>MAX(0,L15-1)</x:f>
        <x:v>0</x:v>
      </x:c>
    </x:row>
    <x:row r="16" ht="24" customHeight="1">
      <x:c r="B16" s="203" t="str">
        <x:f>'06 Draft Program Plan'!B16</x:f>
        <x:v>P10</x:v>
      </x:c>
      <x:c r="C16" s="203" t="str">
        <x:f>'06 Draft Program Plan'!C16</x:f>
        <x:v>May</x:v>
      </x:c>
      <x:c r="D16" s="203" t="str">
        <x:f>'06 Draft Program Plan'!D16</x:f>
        <x:v>Linda Smile</x:v>
      </x:c>
      <x:c r="E16" s="203" t="str">
        <x:f>'06 Draft Program Plan'!E16</x:f>
        <x:v>Executive Blame Delegation</x:v>
      </x:c>
      <x:c r="F16" s="203" t="str">
        <x:f>'06 Draft Program Plan'!F16</x:f>
        <x:v>Open</x:v>
      </x:c>
      <x:c r="G16" s="196" t="n">
        <x:f>'06 Draft Program Plan'!G16</x:f>
        <x:v>2</x:v>
      </x:c>
      <x:c r="H16" s="196" t="n">
        <x:f>IF(F16="Open",MIN('06 Draft Program Plan'!H16,'14 Drivers'!$D$45,INDEX('15 P1 Workings'!$D$32:$O$32,1,MATCH(C16,'15 P1 Workings'!$D$6:$O$6,0))),'06 Draft Program Plan'!H16)</x:f>
        <x:v>13</x:v>
      </x:c>
      <x:c r="I16" s="175" t="n">
        <x:f>'06 Draft Program Plan'!I16</x:f>
        <x:v>600</x:v>
      </x:c>
      <x:c r="J16" s="175" t="n">
        <x:f>IF(F16="Open",H16*I16,IF(F16="Large corporate",('14 Drivers'!$D$22+ROUNDUP(MAX(0,H16-'14 Drivers'!$D$24)/'14 Drivers'!$D$25,0)*'14 Drivers'!$D$23)*G16,'14 Drivers'!$D$22*G16))</x:f>
        <x:v>7800</x:v>
      </x:c>
      <x:c r="K16" s="175" t="n">
        <x:f>-G16*INDEX('14 Drivers'!$D$9:$O$9,1,MATCH(C16,'14 Drivers'!$D$6:$O$6,0))</x:f>
        <x:v>-1400</x:v>
      </x:c>
      <x:c r="L16" s="196" t="n">
        <x:f>IF(F16="Large corporate",MAX(0,ROUNDUP(H16/'14 Drivers'!$D$27,0)-1),0)</x:f>
        <x:v>0</x:v>
      </x:c>
      <x:c r="M16" s="175" t="n">
        <x:f>-L16*G16*INDEX('14 Drivers'!$D$9:$O$9,1,MATCH(C16,'14 Drivers'!$D$6:$O$6,0))*'14 Drivers'!$D$30</x:f>
        <x:v>0</x:v>
      </x:c>
      <x:c r="N16" s="175" t="n">
        <x:f>-IF(F16="Open",G16*'14 Drivers'!$D$32,0)</x:f>
        <x:v>-1200</x:v>
      </x:c>
      <x:c r="O16" s="175" t="n">
        <x:f>-'06 Draft Program Plan'!O16</x:f>
        <x:v>0</x:v>
      </x:c>
      <x:c r="P16" s="175" t="n">
        <x:f>-H16*G16*'14 Drivers'!$D$31</x:f>
        <x:v>-390</x:v>
      </x:c>
      <x:c r="Q16" s="175" t="n">
        <x:f>-J16*'14 Drivers'!$D$33</x:f>
        <x:v>-390</x:v>
      </x:c>
      <x:c r="R16" s="174" t="n">
        <x:f>SUM(K16,M16:Q16)</x:f>
        <x:v>-3380</x:v>
      </x:c>
      <x:c r="S16" s="174" t="n">
        <x:f>SUM(J16,R16)</x:f>
        <x:v>4420</x:v>
      </x:c>
      <x:c r="T16" s="192" t="n">
        <x:f>IF(J16=0,"n.a.",S16/J16)</x:f>
        <x:v>0.5666666666666667</x:v>
      </x:c>
      <x:c r="U16" s="179" t="n">
        <x:f>L16*G16</x:f>
        <x:v>0</x:v>
      </x:c>
      <x:c r="V16" s="196" t="n">
        <x:f>IF(L16&gt;0,MIN(G16,'14 Drivers'!$D$52),0)</x:f>
        <x:v>0</x:v>
      </x:c>
      <x:c r="W16" s="179" t="n">
        <x:f>U16-V16</x:f>
        <x:v>0</x:v>
      </x:c>
      <x:c r="X16" s="179" t="n">
        <x:f>1+L16</x:f>
        <x:v>1</x:v>
      </x:c>
      <x:c r="Y16" s="179" t="n">
        <x:f>MAX(0,L16-1)</x:f>
        <x:v>0</x:v>
      </x:c>
    </x:row>
    <x:row r="17" ht="24" customHeight="1">
      <x:c r="B17" s="203" t="str">
        <x:f>'06 Draft Program Plan'!B17</x:f>
        <x:v>P11</x:v>
      </x:c>
      <x:c r="C17" s="203" t="str">
        <x:f>'06 Draft Program Plan'!C17</x:f>
        <x:v>Jun</x:v>
      </x:c>
      <x:c r="D17" s="203" t="str">
        <x:f>'06 Draft Program Plan'!D17</x:f>
        <x:v>Ella Fast</x:v>
      </x:c>
      <x:c r="E17" s="203" t="str">
        <x:f>'06 Draft Program Plan'!E17</x:f>
        <x:v>Advanced Micromanagement</x:v>
      </x:c>
      <x:c r="F17" s="203" t="str">
        <x:f>'06 Draft Program Plan'!F17</x:f>
        <x:v>Standard corporate</x:v>
      </x:c>
      <x:c r="G17" s="196" t="n">
        <x:f>'06 Draft Program Plan'!G17</x:f>
        <x:v>2</x:v>
      </x:c>
      <x:c r="H17" s="196" t="n">
        <x:f>IF(F17="Open",MIN('06 Draft Program Plan'!H17,'14 Drivers'!$D$45,INDEX('15 P1 Workings'!$D$32:$O$32,1,MATCH(C17,'15 P1 Workings'!$D$6:$O$6,0))),'06 Draft Program Plan'!H17)</x:f>
        <x:v>20</x:v>
      </x:c>
      <x:c r="I17" s="175" t="n">
        <x:f>'06 Draft Program Plan'!I17</x:f>
        <x:v>0</x:v>
      </x:c>
      <x:c r="J17" s="175" t="n">
        <x:f>IF(F17="Open",H17*I17,IF(F17="Large corporate",('14 Drivers'!$D$22+ROUNDUP(MAX(0,H17-'14 Drivers'!$D$24)/'14 Drivers'!$D$25,0)*'14 Drivers'!$D$23)*G17,'14 Drivers'!$D$22*G17))</x:f>
        <x:v>5000</x:v>
      </x:c>
      <x:c r="K17" s="175" t="n">
        <x:f>-G17*INDEX('14 Drivers'!$D$9:$O$9,1,MATCH(C17,'14 Drivers'!$D$6:$O$6,0))</x:f>
        <x:v>-1400</x:v>
      </x:c>
      <x:c r="L17" s="196" t="n">
        <x:f>IF(F17="Large corporate",MAX(0,ROUNDUP(H17/'14 Drivers'!$D$27,0)-1),0)</x:f>
        <x:v>0</x:v>
      </x:c>
      <x:c r="M17" s="175" t="n">
        <x:f>-L17*G17*INDEX('14 Drivers'!$D$9:$O$9,1,MATCH(C17,'14 Drivers'!$D$6:$O$6,0))*'14 Drivers'!$D$30</x:f>
        <x:v>0</x:v>
      </x:c>
      <x:c r="N17" s="175" t="n">
        <x:f>-IF(F17="Open",G17*'14 Drivers'!$D$32,0)</x:f>
        <x:v>0</x:v>
      </x:c>
      <x:c r="O17" s="175" t="n">
        <x:f>-'06 Draft Program Plan'!O17</x:f>
        <x:v>-400</x:v>
      </x:c>
      <x:c r="P17" s="175" t="n">
        <x:f>-H17*G17*'14 Drivers'!$D$31</x:f>
        <x:v>-600</x:v>
      </x:c>
      <x:c r="Q17" s="175" t="n">
        <x:f>-J17*'14 Drivers'!$D$33</x:f>
        <x:v>-250</x:v>
      </x:c>
      <x:c r="R17" s="174" t="n">
        <x:f>SUM(K17,M17:Q17)</x:f>
        <x:v>-2650</x:v>
      </x:c>
      <x:c r="S17" s="174" t="n">
        <x:f>SUM(J17,R17)</x:f>
        <x:v>2350</x:v>
      </x:c>
      <x:c r="T17" s="192" t="n">
        <x:f>IF(J17=0,"n.a.",S17/J17)</x:f>
        <x:v>0.47</x:v>
      </x:c>
      <x:c r="U17" s="179" t="n">
        <x:f>L17*G17</x:f>
        <x:v>0</x:v>
      </x:c>
      <x:c r="V17" s="196" t="n">
        <x:f>IF(L17&gt;0,MIN(G17,'14 Drivers'!$D$52),0)</x:f>
        <x:v>0</x:v>
      </x:c>
      <x:c r="W17" s="179" t="n">
        <x:f>U17-V17</x:f>
        <x:v>0</x:v>
      </x:c>
      <x:c r="X17" s="179" t="n">
        <x:f>1+L17</x:f>
        <x:v>1</x:v>
      </x:c>
      <x:c r="Y17" s="179" t="n">
        <x:f>MAX(0,L17-1)</x:f>
        <x:v>0</x:v>
      </x:c>
    </x:row>
    <x:row r="18" ht="24" customHeight="1">
      <x:c r="B18" s="203" t="str">
        <x:f>'06 Draft Program Plan'!B18</x:f>
        <x:v>P12</x:v>
      </x:c>
      <x:c r="C18" s="203" t="str">
        <x:f>'06 Draft Program Plan'!C18</x:f>
        <x:v>Jun</x:v>
      </x:c>
      <x:c r="D18" s="203" t="str">
        <x:f>'06 Draft Program Plan'!D18</x:f>
        <x:v>Mark Pressure</x:v>
      </x:c>
      <x:c r="E18" s="203" t="str">
        <x:f>'06 Draft Program Plan'!E18</x:f>
        <x:v>Call Until They Buy</x:v>
      </x:c>
      <x:c r="F18" s="203" t="str">
        <x:f>'06 Draft Program Plan'!F18</x:f>
        <x:v>Large corporate</x:v>
      </x:c>
      <x:c r="G18" s="196" t="n">
        <x:f>'06 Draft Program Plan'!G18</x:f>
        <x:v>2</x:v>
      </x:c>
      <x:c r="H18" s="196" t="n">
        <x:f>IF(F18="Open",MIN('06 Draft Program Plan'!H18,'14 Drivers'!$D$45,INDEX('15 P1 Workings'!$D$32:$O$32,1,MATCH(C18,'15 P1 Workings'!$D$6:$O$6,0))),'06 Draft Program Plan'!H18)</x:f>
        <x:v>70</x:v>
      </x:c>
      <x:c r="I18" s="175" t="n">
        <x:f>'06 Draft Program Plan'!I18</x:f>
        <x:v>0</x:v>
      </x:c>
      <x:c r="J18" s="175" t="n">
        <x:f>IF(F18="Open",H18*I18,IF(F18="Large corporate",('14 Drivers'!$D$22+ROUNDUP(MAX(0,H18-'14 Drivers'!$D$24)/'14 Drivers'!$D$25,0)*'14 Drivers'!$D$23)*G18,'14 Drivers'!$D$22*G18))</x:f>
        <x:v>11500</x:v>
      </x:c>
      <x:c r="K18" s="175" t="n">
        <x:f>-G18*INDEX('14 Drivers'!$D$9:$O$9,1,MATCH(C18,'14 Drivers'!$D$6:$O$6,0))</x:f>
        <x:v>-1400</x:v>
      </x:c>
      <x:c r="L18" s="196" t="n">
        <x:f>IF(F18="Large corporate",MAX(0,ROUNDUP(H18/'14 Drivers'!$D$27,0)-1),0)</x:f>
        <x:v>2</x:v>
      </x:c>
      <x:c r="M18" s="175" t="n">
        <x:f>-L18*G18*INDEX('14 Drivers'!$D$9:$O$9,1,MATCH(C18,'14 Drivers'!$D$6:$O$6,0))*'14 Drivers'!$D$30</x:f>
        <x:v>-700</x:v>
      </x:c>
      <x:c r="N18" s="175" t="n">
        <x:f>-IF(F18="Open",G18*'14 Drivers'!$D$32,0)</x:f>
        <x:v>0</x:v>
      </x:c>
      <x:c r="O18" s="175" t="n">
        <x:f>-'06 Draft Program Plan'!O18</x:f>
        <x:v>-600</x:v>
      </x:c>
      <x:c r="P18" s="175" t="n">
        <x:f>-H18*G18*'14 Drivers'!$D$31</x:f>
        <x:v>-2100</x:v>
      </x:c>
      <x:c r="Q18" s="175" t="n">
        <x:f>-J18*'14 Drivers'!$D$33</x:f>
        <x:v>-575</x:v>
      </x:c>
      <x:c r="R18" s="174" t="n">
        <x:f>SUM(K18,M18:Q18)</x:f>
        <x:v>-5375</x:v>
      </x:c>
      <x:c r="S18" s="174" t="n">
        <x:f>SUM(J18,R18)</x:f>
        <x:v>6125</x:v>
      </x:c>
      <x:c r="T18" s="192" t="n">
        <x:f>IF(J18=0,"n.a.",S18/J18)</x:f>
        <x:v>0.532608695652174</x:v>
      </x:c>
      <x:c r="U18" s="179" t="n">
        <x:f>L18*G18</x:f>
        <x:v>4</x:v>
      </x:c>
      <x:c r="V18" s="196" t="n">
        <x:f>IF(L18&gt;0,MIN(G18,'14 Drivers'!$D$52),0)</x:f>
        <x:v>2</x:v>
      </x:c>
      <x:c r="W18" s="179" t="n">
        <x:f>U18-V18</x:f>
        <x:v>2</x:v>
      </x:c>
      <x:c r="X18" s="179" t="n">
        <x:f>1+L18</x:f>
        <x:v>3</x:v>
      </x:c>
      <x:c r="Y18" s="179" t="n">
        <x:f>MAX(0,L18-1)</x:f>
        <x:v>1</x:v>
      </x:c>
    </x:row>
    <x:row r="19" ht="24" customHeight="1">
      <x:c r="B19" s="203" t="str">
        <x:f>'06 Draft Program Plan'!B19</x:f>
        <x:v>P13</x:v>
      </x:c>
      <x:c r="C19" s="203" t="str">
        <x:f>'06 Draft Program Plan'!C19</x:f>
        <x:v>Jul</x:v>
      </x:c>
      <x:c r="D19" s="203" t="str">
        <x:f>'06 Draft Program Plan'!D19</x:f>
        <x:v>Peter Late</x:v>
      </x:c>
      <x:c r="E19" s="203" t="str">
        <x:f>'06 Draft Program Plan'!E19</x:f>
        <x:v>Meetings About Meetings</x:v>
      </x:c>
      <x:c r="F19" s="203" t="str">
        <x:f>'06 Draft Program Plan'!F19</x:f>
        <x:v>Standard corporate</x:v>
      </x:c>
      <x:c r="G19" s="196" t="n">
        <x:f>'06 Draft Program Plan'!G19</x:f>
        <x:v>1</x:v>
      </x:c>
      <x:c r="H19" s="196" t="n">
        <x:f>IF(F19="Open",MIN('06 Draft Program Plan'!H19,'14 Drivers'!$D$45,INDEX('15 P1 Workings'!$D$32:$O$32,1,MATCH(C19,'15 P1 Workings'!$D$6:$O$6,0))),'06 Draft Program Plan'!H19)</x:f>
        <x:v>20</x:v>
      </x:c>
      <x:c r="I19" s="175" t="n">
        <x:f>'06 Draft Program Plan'!I19</x:f>
        <x:v>0</x:v>
      </x:c>
      <x:c r="J19" s="175" t="n">
        <x:f>IF(F19="Open",H19*I19,IF(F19="Large corporate",('14 Drivers'!$D$22+ROUNDUP(MAX(0,H19-'14 Drivers'!$D$24)/'14 Drivers'!$D$25,0)*'14 Drivers'!$D$23)*G19,'14 Drivers'!$D$22*G19))</x:f>
        <x:v>2500</x:v>
      </x:c>
      <x:c r="K19" s="175" t="n">
        <x:f>-G19*INDEX('14 Drivers'!$D$9:$O$9,1,MATCH(C19,'14 Drivers'!$D$6:$O$6,0))</x:f>
        <x:v>-770.0000000000001</x:v>
      </x:c>
      <x:c r="L19" s="196" t="n">
        <x:f>IF(F19="Large corporate",MAX(0,ROUNDUP(H19/'14 Drivers'!$D$27,0)-1),0)</x:f>
        <x:v>0</x:v>
      </x:c>
      <x:c r="M19" s="175" t="n">
        <x:f>-L19*G19*INDEX('14 Drivers'!$D$9:$O$9,1,MATCH(C19,'14 Drivers'!$D$6:$O$6,0))*'14 Drivers'!$D$30</x:f>
        <x:v>0</x:v>
      </x:c>
      <x:c r="N19" s="175" t="n">
        <x:f>-IF(F19="Open",G19*'14 Drivers'!$D$32,0)</x:f>
        <x:v>0</x:v>
      </x:c>
      <x:c r="O19" s="175" t="n">
        <x:f>-'06 Draft Program Plan'!O19</x:f>
        <x:v>0</x:v>
      </x:c>
      <x:c r="P19" s="175" t="n">
        <x:f>-H19*G19*'14 Drivers'!$D$31</x:f>
        <x:v>-300</x:v>
      </x:c>
      <x:c r="Q19" s="175" t="n">
        <x:f>-J19*'14 Drivers'!$D$33</x:f>
        <x:v>-125</x:v>
      </x:c>
      <x:c r="R19" s="174" t="n">
        <x:f>SUM(K19,M19:Q19)</x:f>
        <x:v>-1195</x:v>
      </x:c>
      <x:c r="S19" s="174" t="n">
        <x:f>SUM(J19,R19)</x:f>
        <x:v>1305</x:v>
      </x:c>
      <x:c r="T19" s="192" t="n">
        <x:f>IF(J19=0,"n.a.",S19/J19)</x:f>
        <x:v>0.522</x:v>
      </x:c>
      <x:c r="U19" s="179" t="n">
        <x:f>L19*G19</x:f>
        <x:v>0</x:v>
      </x:c>
      <x:c r="V19" s="196" t="n">
        <x:f>IF(L19&gt;0,MIN(G19,'14 Drivers'!$D$52),0)</x:f>
        <x:v>0</x:v>
      </x:c>
      <x:c r="W19" s="179" t="n">
        <x:f>U19-V19</x:f>
        <x:v>0</x:v>
      </x:c>
      <x:c r="X19" s="179" t="n">
        <x:f>1+L19</x:f>
        <x:v>1</x:v>
      </x:c>
      <x:c r="Y19" s="179" t="n">
        <x:f>MAX(0,L19-1)</x:f>
        <x:v>0</x:v>
      </x:c>
    </x:row>
    <x:row r="20" ht="24" customHeight="1">
      <x:c r="B20" s="203" t="str">
        <x:f>'06 Draft Program Plan'!B20</x:f>
        <x:v>P14</x:v>
      </x:c>
      <x:c r="C20" s="203" t="str">
        <x:f>'06 Draft Program Plan'!C20</x:f>
        <x:v>Aug</x:v>
      </x:c>
      <x:c r="D20" s="203" t="str">
        <x:f>'06 Draft Program Plan'!D20</x:f>
        <x:v>Ella Fast</x:v>
      </x:c>
      <x:c r="E20" s="203" t="str">
        <x:f>'06 Draft Program Plan'!E20</x:f>
        <x:v>Promise First Ask Later</x:v>
      </x:c>
      <x:c r="F20" s="203" t="str">
        <x:f>'06 Draft Program Plan'!F20</x:f>
        <x:v>Standard corporate</x:v>
      </x:c>
      <x:c r="G20" s="196" t="n">
        <x:f>'06 Draft Program Plan'!G20</x:f>
        <x:v>2</x:v>
      </x:c>
      <x:c r="H20" s="196" t="n">
        <x:f>IF(F20="Open",MIN('06 Draft Program Plan'!H20,'14 Drivers'!$D$45,INDEX('15 P1 Workings'!$D$32:$O$32,1,MATCH(C20,'15 P1 Workings'!$D$6:$O$6,0))),'06 Draft Program Plan'!H20)</x:f>
        <x:v>20</x:v>
      </x:c>
      <x:c r="I20" s="175" t="n">
        <x:f>'06 Draft Program Plan'!I20</x:f>
        <x:v>0</x:v>
      </x:c>
      <x:c r="J20" s="175" t="n">
        <x:f>IF(F20="Open",H20*I20,IF(F20="Large corporate",('14 Drivers'!$D$22+ROUNDUP(MAX(0,H20-'14 Drivers'!$D$24)/'14 Drivers'!$D$25,0)*'14 Drivers'!$D$23)*G20,'14 Drivers'!$D$22*G20))</x:f>
        <x:v>5000</x:v>
      </x:c>
      <x:c r="K20" s="175" t="n">
        <x:f>-G20*INDEX('14 Drivers'!$D$9:$O$9,1,MATCH(C20,'14 Drivers'!$D$6:$O$6,0))</x:f>
        <x:v>-1540.0000000000002</x:v>
      </x:c>
      <x:c r="L20" s="196" t="n">
        <x:f>IF(F20="Large corporate",MAX(0,ROUNDUP(H20/'14 Drivers'!$D$27,0)-1),0)</x:f>
        <x:v>0</x:v>
      </x:c>
      <x:c r="M20" s="175" t="n">
        <x:f>-L20*G20*INDEX('14 Drivers'!$D$9:$O$9,1,MATCH(C20,'14 Drivers'!$D$6:$O$6,0))*'14 Drivers'!$D$30</x:f>
        <x:v>0</x:v>
      </x:c>
      <x:c r="N20" s="175" t="n">
        <x:f>-IF(F20="Open",G20*'14 Drivers'!$D$32,0)</x:f>
        <x:v>0</x:v>
      </x:c>
      <x:c r="O20" s="175" t="n">
        <x:f>-'06 Draft Program Plan'!O20</x:f>
        <x:v>-500</x:v>
      </x:c>
      <x:c r="P20" s="175" t="n">
        <x:f>-H20*G20*'14 Drivers'!$D$31</x:f>
        <x:v>-600</x:v>
      </x:c>
      <x:c r="Q20" s="175" t="n">
        <x:f>-J20*'14 Drivers'!$D$33</x:f>
        <x:v>-250</x:v>
      </x:c>
      <x:c r="R20" s="174" t="n">
        <x:f>SUM(K20,M20:Q20)</x:f>
        <x:v>-2890</x:v>
      </x:c>
      <x:c r="S20" s="174" t="n">
        <x:f>SUM(J20,R20)</x:f>
        <x:v>2110</x:v>
      </x:c>
      <x:c r="T20" s="192" t="n">
        <x:f>IF(J20=0,"n.a.",S20/J20)</x:f>
        <x:v>0.422</x:v>
      </x:c>
      <x:c r="U20" s="179" t="n">
        <x:f>L20*G20</x:f>
        <x:v>0</x:v>
      </x:c>
      <x:c r="V20" s="196" t="n">
        <x:f>IF(L20&gt;0,MIN(G20,'14 Drivers'!$D$52),0)</x:f>
        <x:v>0</x:v>
      </x:c>
      <x:c r="W20" s="179" t="n">
        <x:f>U20-V20</x:f>
        <x:v>0</x:v>
      </x:c>
      <x:c r="X20" s="179" t="n">
        <x:f>1+L20</x:f>
        <x:v>1</x:v>
      </x:c>
      <x:c r="Y20" s="179" t="n">
        <x:f>MAX(0,L20-1)</x:f>
        <x:v>0</x:v>
      </x:c>
    </x:row>
    <x:row r="21" ht="24" customHeight="1">
      <x:c r="B21" s="203" t="str">
        <x:f>'06 Draft Program Plan'!B21</x:f>
        <x:v>P15</x:v>
      </x:c>
      <x:c r="C21" s="203" t="str">
        <x:f>'06 Draft Program Plan'!C21</x:f>
        <x:v>Aug</x:v>
      </x:c>
      <x:c r="D21" s="203" t="str">
        <x:f>'06 Draft Program Plan'!D21</x:f>
        <x:v>Linda Smile</x:v>
      </x:c>
      <x:c r="E21" s="203" t="str">
        <x:f>'06 Draft Program Plan'!E21</x:f>
        <x:v>How to Look Busy All Day</x:v>
      </x:c>
      <x:c r="F21" s="203" t="str">
        <x:f>'06 Draft Program Plan'!F21</x:f>
        <x:v>Open</x:v>
      </x:c>
      <x:c r="G21" s="196" t="n">
        <x:f>'06 Draft Program Plan'!G21</x:f>
        <x:v>1</x:v>
      </x:c>
      <x:c r="H21" s="196" t="n">
        <x:f>IF(F21="Open",MIN('06 Draft Program Plan'!H21,'14 Drivers'!$D$45,INDEX('15 P1 Workings'!$D$32:$O$32,1,MATCH(C21,'15 P1 Workings'!$D$6:$O$6,0))),'06 Draft Program Plan'!H21)</x:f>
        <x:v>5</x:v>
      </x:c>
      <x:c r="I21" s="175" t="n">
        <x:f>'06 Draft Program Plan'!I21</x:f>
        <x:v>200</x:v>
      </x:c>
      <x:c r="J21" s="175" t="n">
        <x:f>IF(F21="Open",H21*I21,IF(F21="Large corporate",('14 Drivers'!$D$22+ROUNDUP(MAX(0,H21-'14 Drivers'!$D$24)/'14 Drivers'!$D$25,0)*'14 Drivers'!$D$23)*G21,'14 Drivers'!$D$22*G21))</x:f>
        <x:v>1000</x:v>
      </x:c>
      <x:c r="K21" s="175" t="n">
        <x:f>-G21*INDEX('14 Drivers'!$D$9:$O$9,1,MATCH(C21,'14 Drivers'!$D$6:$O$6,0))</x:f>
        <x:v>-770.0000000000001</x:v>
      </x:c>
      <x:c r="L21" s="196" t="n">
        <x:f>IF(F21="Large corporate",MAX(0,ROUNDUP(H21/'14 Drivers'!$D$27,0)-1),0)</x:f>
        <x:v>0</x:v>
      </x:c>
      <x:c r="M21" s="175" t="n">
        <x:f>-L21*G21*INDEX('14 Drivers'!$D$9:$O$9,1,MATCH(C21,'14 Drivers'!$D$6:$O$6,0))*'14 Drivers'!$D$30</x:f>
        <x:v>0</x:v>
      </x:c>
      <x:c r="N21" s="175" t="n">
        <x:f>-IF(F21="Open",G21*'14 Drivers'!$D$32,0)</x:f>
        <x:v>-600</x:v>
      </x:c>
      <x:c r="O21" s="175" t="n">
        <x:f>-'06 Draft Program Plan'!O21</x:f>
        <x:v>0</x:v>
      </x:c>
      <x:c r="P21" s="175" t="n">
        <x:f>-H21*G21*'14 Drivers'!$D$31</x:f>
        <x:v>-75</x:v>
      </x:c>
      <x:c r="Q21" s="175" t="n">
        <x:f>-J21*'14 Drivers'!$D$33</x:f>
        <x:v>-50</x:v>
      </x:c>
      <x:c r="R21" s="174" t="n">
        <x:f>SUM(K21,M21:Q21)</x:f>
        <x:v>-1495</x:v>
      </x:c>
      <x:c r="S21" s="174" t="n">
        <x:f>SUM(J21,R21)</x:f>
        <x:v>-495</x:v>
      </x:c>
      <x:c r="T21" s="192" t="n">
        <x:f>IF(J21=0,"n.a.",S21/J21)</x:f>
        <x:v>-0.495</x:v>
      </x:c>
      <x:c r="U21" s="179" t="n">
        <x:f>L21*G21</x:f>
        <x:v>0</x:v>
      </x:c>
      <x:c r="V21" s="196" t="n">
        <x:f>IF(L21&gt;0,MIN(G21,'14 Drivers'!$D$52),0)</x:f>
        <x:v>0</x:v>
      </x:c>
      <x:c r="W21" s="179" t="n">
        <x:f>U21-V21</x:f>
        <x:v>0</x:v>
      </x:c>
      <x:c r="X21" s="179" t="n">
        <x:f>1+L21</x:f>
        <x:v>1</x:v>
      </x:c>
      <x:c r="Y21" s="179" t="n">
        <x:f>MAX(0,L21-1)</x:f>
        <x:v>0</x:v>
      </x:c>
    </x:row>
    <x:row r="22" ht="24" customHeight="1">
      <x:c r="B22" s="203" t="str">
        <x:f>'06 Draft Program Plan'!B22</x:f>
        <x:v>P16</x:v>
      </x:c>
      <x:c r="C22" s="203" t="str">
        <x:f>'06 Draft Program Plan'!C22</x:f>
        <x:v>Sep</x:v>
      </x:c>
      <x:c r="D22" s="203" t="str">
        <x:f>'06 Draft Program Plan'!D22</x:f>
        <x:v>Anna Power</x:v>
      </x:c>
      <x:c r="E22" s="203" t="str">
        <x:f>'06 Draft Program Plan'!E22</x:f>
        <x:v>Advanced Micromanagement</x:v>
      </x:c>
      <x:c r="F22" s="203" t="str">
        <x:f>'06 Draft Program Plan'!F22</x:f>
        <x:v>Large corporate</x:v>
      </x:c>
      <x:c r="G22" s="196" t="n">
        <x:f>'06 Draft Program Plan'!G22</x:f>
        <x:v>2</x:v>
      </x:c>
      <x:c r="H22" s="196" t="n">
        <x:f>IF(F22="Open",MIN('06 Draft Program Plan'!H22,'14 Drivers'!$D$45,INDEX('15 P1 Workings'!$D$32:$O$32,1,MATCH(C22,'15 P1 Workings'!$D$6:$O$6,0))),'06 Draft Program Plan'!H22)</x:f>
        <x:v>100</x:v>
      </x:c>
      <x:c r="I22" s="175" t="n">
        <x:f>'06 Draft Program Plan'!I22</x:f>
        <x:v>0</x:v>
      </x:c>
      <x:c r="J22" s="175" t="n">
        <x:f>IF(F22="Open",H22*I22,IF(F22="Large corporate",('14 Drivers'!$D$22+ROUNDUP(MAX(0,H22-'14 Drivers'!$D$24)/'14 Drivers'!$D$25,0)*'14 Drivers'!$D$23)*G22,'14 Drivers'!$D$22*G22))</x:f>
        <x:v>15400</x:v>
      </x:c>
      <x:c r="K22" s="175" t="n">
        <x:f>-G22*INDEX('14 Drivers'!$D$9:$O$9,1,MATCH(C22,'14 Drivers'!$D$6:$O$6,0))</x:f>
        <x:v>-1540.0000000000002</x:v>
      </x:c>
      <x:c r="L22" s="196" t="n">
        <x:f>IF(F22="Large corporate",MAX(0,ROUNDUP(H22/'14 Drivers'!$D$27,0)-1),0)</x:f>
        <x:v>3</x:v>
      </x:c>
      <x:c r="M22" s="175" t="n">
        <x:f>-L22*G22*INDEX('14 Drivers'!$D$9:$O$9,1,MATCH(C22,'14 Drivers'!$D$6:$O$6,0))*'14 Drivers'!$D$30</x:f>
        <x:v>-1155.0000000000002</x:v>
      </x:c>
      <x:c r="N22" s="175" t="n">
        <x:f>-IF(F22="Open",G22*'14 Drivers'!$D$32,0)</x:f>
        <x:v>0</x:v>
      </x:c>
      <x:c r="O22" s="175" t="n">
        <x:f>-'06 Draft Program Plan'!O22</x:f>
        <x:v>-1200</x:v>
      </x:c>
      <x:c r="P22" s="175" t="n">
        <x:f>-H22*G22*'14 Drivers'!$D$31</x:f>
        <x:v>-3000</x:v>
      </x:c>
      <x:c r="Q22" s="175" t="n">
        <x:f>-J22*'14 Drivers'!$D$33</x:f>
        <x:v>-770</x:v>
      </x:c>
      <x:c r="R22" s="174" t="n">
        <x:f>SUM(K22,M22:Q22)</x:f>
        <x:v>-7665</x:v>
      </x:c>
      <x:c r="S22" s="174" t="n">
        <x:f>SUM(J22,R22)</x:f>
        <x:v>7735</x:v>
      </x:c>
      <x:c r="T22" s="192" t="n">
        <x:f>IF(J22=0,"n.a.",S22/J22)</x:f>
        <x:v>0.5022727272727273</x:v>
      </x:c>
      <x:c r="U22" s="179" t="n">
        <x:f>L22*G22</x:f>
        <x:v>6</x:v>
      </x:c>
      <x:c r="V22" s="196" t="n">
        <x:f>IF(L22&gt;0,MIN(G22,'14 Drivers'!$D$52),0)</x:f>
        <x:v>2</x:v>
      </x:c>
      <x:c r="W22" s="179" t="n">
        <x:f>U22-V22</x:f>
        <x:v>4</x:v>
      </x:c>
      <x:c r="X22" s="179" t="n">
        <x:f>1+L22</x:f>
        <x:v>4</x:v>
      </x:c>
      <x:c r="Y22" s="179" t="n">
        <x:f>MAX(0,L22-1)</x:f>
        <x:v>2</x:v>
      </x:c>
    </x:row>
    <x:row r="23" ht="24" customHeight="1">
      <x:c r="B23" s="203" t="str">
        <x:f>'06 Draft Program Plan'!B23</x:f>
        <x:v>P17</x:v>
      </x:c>
      <x:c r="C23" s="203" t="str">
        <x:f>'06 Draft Program Plan'!C23</x:f>
        <x:v>Sep</x:v>
      </x:c>
      <x:c r="D23" s="203" t="str">
        <x:f>'06 Draft Program Plan'!D23</x:f>
        <x:v>Mark Pressure</x:v>
      </x:c>
      <x:c r="E23" s="203" t="str">
        <x:f>'06 Draft Program Plan'!E23</x:f>
        <x:v>Call Until They Buy</x:v>
      </x:c>
      <x:c r="F23" s="203" t="str">
        <x:f>'06 Draft Program Plan'!F23</x:f>
        <x:v>Standard corporate</x:v>
      </x:c>
      <x:c r="G23" s="196" t="n">
        <x:f>'06 Draft Program Plan'!G23</x:f>
        <x:v>2</x:v>
      </x:c>
      <x:c r="H23" s="196" t="n">
        <x:f>IF(F23="Open",MIN('06 Draft Program Plan'!H23,'14 Drivers'!$D$45,INDEX('15 P1 Workings'!$D$32:$O$32,1,MATCH(C23,'15 P1 Workings'!$D$6:$O$6,0))),'06 Draft Program Plan'!H23)</x:f>
        <x:v>20</x:v>
      </x:c>
      <x:c r="I23" s="175" t="n">
        <x:f>'06 Draft Program Plan'!I23</x:f>
        <x:v>0</x:v>
      </x:c>
      <x:c r="J23" s="175" t="n">
        <x:f>IF(F23="Open",H23*I23,IF(F23="Large corporate",('14 Drivers'!$D$22+ROUNDUP(MAX(0,H23-'14 Drivers'!$D$24)/'14 Drivers'!$D$25,0)*'14 Drivers'!$D$23)*G23,'14 Drivers'!$D$22*G23))</x:f>
        <x:v>5000</x:v>
      </x:c>
      <x:c r="K23" s="175" t="n">
        <x:f>-G23*INDEX('14 Drivers'!$D$9:$O$9,1,MATCH(C23,'14 Drivers'!$D$6:$O$6,0))</x:f>
        <x:v>-1540.0000000000002</x:v>
      </x:c>
      <x:c r="L23" s="196" t="n">
        <x:f>IF(F23="Large corporate",MAX(0,ROUNDUP(H23/'14 Drivers'!$D$27,0)-1),0)</x:f>
        <x:v>0</x:v>
      </x:c>
      <x:c r="M23" s="175" t="n">
        <x:f>-L23*G23*INDEX('14 Drivers'!$D$9:$O$9,1,MATCH(C23,'14 Drivers'!$D$6:$O$6,0))*'14 Drivers'!$D$30</x:f>
        <x:v>0</x:v>
      </x:c>
      <x:c r="N23" s="175" t="n">
        <x:f>-IF(F23="Open",G23*'14 Drivers'!$D$32,0)</x:f>
        <x:v>0</x:v>
      </x:c>
      <x:c r="O23" s="175" t="n">
        <x:f>-'06 Draft Program Plan'!O23</x:f>
        <x:v>-300</x:v>
      </x:c>
      <x:c r="P23" s="175" t="n">
        <x:f>-H23*G23*'14 Drivers'!$D$31</x:f>
        <x:v>-600</x:v>
      </x:c>
      <x:c r="Q23" s="175" t="n">
        <x:f>-J23*'14 Drivers'!$D$33</x:f>
        <x:v>-250</x:v>
      </x:c>
      <x:c r="R23" s="174" t="n">
        <x:f>SUM(K23,M23:Q23)</x:f>
        <x:v>-2690</x:v>
      </x:c>
      <x:c r="S23" s="174" t="n">
        <x:f>SUM(J23,R23)</x:f>
        <x:v>2310</x:v>
      </x:c>
      <x:c r="T23" s="192" t="n">
        <x:f>IF(J23=0,"n.a.",S23/J23)</x:f>
        <x:v>0.462</x:v>
      </x:c>
      <x:c r="U23" s="179" t="n">
        <x:f>L23*G23</x:f>
        <x:v>0</x:v>
      </x:c>
      <x:c r="V23" s="196" t="n">
        <x:f>IF(L23&gt;0,MIN(G23,'14 Drivers'!$D$52),0)</x:f>
        <x:v>0</x:v>
      </x:c>
      <x:c r="W23" s="179" t="n">
        <x:f>U23-V23</x:f>
        <x:v>0</x:v>
      </x:c>
      <x:c r="X23" s="179" t="n">
        <x:f>1+L23</x:f>
        <x:v>1</x:v>
      </x:c>
      <x:c r="Y23" s="179" t="n">
        <x:f>MAX(0,L23-1)</x:f>
        <x:v>0</x:v>
      </x:c>
    </x:row>
    <x:row r="24" ht="24" customHeight="1">
      <x:c r="B24" s="203" t="str">
        <x:f>'06 Draft Program Plan'!B24</x:f>
        <x:v>P18</x:v>
      </x:c>
      <x:c r="C24" s="203" t="str">
        <x:f>'06 Draft Program Plan'!C24</x:f>
        <x:v>Sep</x:v>
      </x:c>
      <x:c r="D24" s="203" t="str">
        <x:f>'06 Draft Program Plan'!D24</x:f>
        <x:v>Linda Smile</x:v>
      </x:c>
      <x:c r="E24" s="203" t="str">
        <x:f>'06 Draft Program Plan'!E24</x:f>
        <x:v>Executive Blame Delegation</x:v>
      </x:c>
      <x:c r="F24" s="203" t="str">
        <x:f>'06 Draft Program Plan'!F24</x:f>
        <x:v>Open</x:v>
      </x:c>
      <x:c r="G24" s="196" t="n">
        <x:f>'06 Draft Program Plan'!G24</x:f>
        <x:v>2</x:v>
      </x:c>
      <x:c r="H24" s="196" t="n">
        <x:f>IF(F24="Open",MIN('06 Draft Program Plan'!H24,'14 Drivers'!$D$45,INDEX('15 P1 Workings'!$D$32:$O$32,1,MATCH(C24,'15 P1 Workings'!$D$6:$O$6,0))),'06 Draft Program Plan'!H24)</x:f>
        <x:v>8</x:v>
      </x:c>
      <x:c r="I24" s="175" t="n">
        <x:f>'06 Draft Program Plan'!I24</x:f>
        <x:v>600</x:v>
      </x:c>
      <x:c r="J24" s="175" t="n">
        <x:f>IF(F24="Open",H24*I24,IF(F24="Large corporate",('14 Drivers'!$D$22+ROUNDUP(MAX(0,H24-'14 Drivers'!$D$24)/'14 Drivers'!$D$25,0)*'14 Drivers'!$D$23)*G24,'14 Drivers'!$D$22*G24))</x:f>
        <x:v>4800</x:v>
      </x:c>
      <x:c r="K24" s="175" t="n">
        <x:f>-G24*INDEX('14 Drivers'!$D$9:$O$9,1,MATCH(C24,'14 Drivers'!$D$6:$O$6,0))</x:f>
        <x:v>-1540.0000000000002</x:v>
      </x:c>
      <x:c r="L24" s="196" t="n">
        <x:f>IF(F24="Large corporate",MAX(0,ROUNDUP(H24/'14 Drivers'!$D$27,0)-1),0)</x:f>
        <x:v>0</x:v>
      </x:c>
      <x:c r="M24" s="175" t="n">
        <x:f>-L24*G24*INDEX('14 Drivers'!$D$9:$O$9,1,MATCH(C24,'14 Drivers'!$D$6:$O$6,0))*'14 Drivers'!$D$30</x:f>
        <x:v>0</x:v>
      </x:c>
      <x:c r="N24" s="175" t="n">
        <x:f>-IF(F24="Open",G24*'14 Drivers'!$D$32,0)</x:f>
        <x:v>-1200</x:v>
      </x:c>
      <x:c r="O24" s="175" t="n">
        <x:f>-'06 Draft Program Plan'!O24</x:f>
        <x:v>0</x:v>
      </x:c>
      <x:c r="P24" s="175" t="n">
        <x:f>-H24*G24*'14 Drivers'!$D$31</x:f>
        <x:v>-240</x:v>
      </x:c>
      <x:c r="Q24" s="175" t="n">
        <x:f>-J24*'14 Drivers'!$D$33</x:f>
        <x:v>-240</x:v>
      </x:c>
      <x:c r="R24" s="174" t="n">
        <x:f>SUM(K24,M24:Q24)</x:f>
        <x:v>-3220</x:v>
      </x:c>
      <x:c r="S24" s="174" t="n">
        <x:f>SUM(J24,R24)</x:f>
        <x:v>1580</x:v>
      </x:c>
      <x:c r="T24" s="192" t="n">
        <x:f>IF(J24=0,"n.a.",S24/J24)</x:f>
        <x:v>0.32916666666666666</x:v>
      </x:c>
      <x:c r="U24" s="179" t="n">
        <x:f>L24*G24</x:f>
        <x:v>0</x:v>
      </x:c>
      <x:c r="V24" s="196" t="n">
        <x:f>IF(L24&gt;0,MIN(G24,'14 Drivers'!$D$52),0)</x:f>
        <x:v>0</x:v>
      </x:c>
      <x:c r="W24" s="179" t="n">
        <x:f>U24-V24</x:f>
        <x:v>0</x:v>
      </x:c>
      <x:c r="X24" s="179" t="n">
        <x:f>1+L24</x:f>
        <x:v>1</x:v>
      </x:c>
      <x:c r="Y24" s="179" t="n">
        <x:f>MAX(0,L24-1)</x:f>
        <x:v>0</x:v>
      </x:c>
    </x:row>
    <x:row r="25" ht="24" customHeight="1">
      <x:c r="B25" s="203" t="str">
        <x:f>'06 Draft Program Plan'!B25</x:f>
        <x:v>P19</x:v>
      </x:c>
      <x:c r="C25" s="203" t="str">
        <x:f>'06 Draft Program Plan'!C25</x:f>
        <x:v>Oct</x:v>
      </x:c>
      <x:c r="D25" s="203" t="str">
        <x:f>'06 Draft Program Plan'!D25</x:f>
        <x:v>Peter Late</x:v>
      </x:c>
      <x:c r="E25" s="203" t="str">
        <x:f>'06 Draft Program Plan'!E25</x:f>
        <x:v>Professional Blame Delegation</x:v>
      </x:c>
      <x:c r="F25" s="203" t="str">
        <x:f>'06 Draft Program Plan'!F25</x:f>
        <x:v>Standard corporate</x:v>
      </x:c>
      <x:c r="G25" s="196" t="n">
        <x:f>'06 Draft Program Plan'!G25</x:f>
        <x:v>2</x:v>
      </x:c>
      <x:c r="H25" s="196" t="n">
        <x:f>IF(F25="Open",MIN('06 Draft Program Plan'!H25,'14 Drivers'!$D$45,INDEX('15 P1 Workings'!$D$32:$O$32,1,MATCH(C25,'15 P1 Workings'!$D$6:$O$6,0))),'06 Draft Program Plan'!H25)</x:f>
        <x:v>20</x:v>
      </x:c>
      <x:c r="I25" s="175" t="n">
        <x:f>'06 Draft Program Plan'!I25</x:f>
        <x:v>0</x:v>
      </x:c>
      <x:c r="J25" s="175" t="n">
        <x:f>IF(F25="Open",H25*I25,IF(F25="Large corporate",('14 Drivers'!$D$22+ROUNDUP(MAX(0,H25-'14 Drivers'!$D$24)/'14 Drivers'!$D$25,0)*'14 Drivers'!$D$23)*G25,'14 Drivers'!$D$22*G25))</x:f>
        <x:v>5000</x:v>
      </x:c>
      <x:c r="K25" s="175" t="n">
        <x:f>-G25*INDEX('14 Drivers'!$D$9:$O$9,1,MATCH(C25,'14 Drivers'!$D$6:$O$6,0))</x:f>
        <x:v>-1540.0000000000002</x:v>
      </x:c>
      <x:c r="L25" s="196" t="n">
        <x:f>IF(F25="Large corporate",MAX(0,ROUNDUP(H25/'14 Drivers'!$D$27,0)-1),0)</x:f>
        <x:v>0</x:v>
      </x:c>
      <x:c r="M25" s="175" t="n">
        <x:f>-L25*G25*INDEX('14 Drivers'!$D$9:$O$9,1,MATCH(C25,'14 Drivers'!$D$6:$O$6,0))*'14 Drivers'!$D$30</x:f>
        <x:v>0</x:v>
      </x:c>
      <x:c r="N25" s="175" t="n">
        <x:f>-IF(F25="Open",G25*'14 Drivers'!$D$32,0)</x:f>
        <x:v>0</x:v>
      </x:c>
      <x:c r="O25" s="175" t="n">
        <x:f>-'06 Draft Program Plan'!O25</x:f>
        <x:v>0</x:v>
      </x:c>
      <x:c r="P25" s="175" t="n">
        <x:f>-H25*G25*'14 Drivers'!$D$31</x:f>
        <x:v>-600</x:v>
      </x:c>
      <x:c r="Q25" s="175" t="n">
        <x:f>-J25*'14 Drivers'!$D$33</x:f>
        <x:v>-250</x:v>
      </x:c>
      <x:c r="R25" s="174" t="n">
        <x:f>SUM(K25,M25:Q25)</x:f>
        <x:v>-2390</x:v>
      </x:c>
      <x:c r="S25" s="174" t="n">
        <x:f>SUM(J25,R25)</x:f>
        <x:v>2610</x:v>
      </x:c>
      <x:c r="T25" s="192" t="n">
        <x:f>IF(J25=0,"n.a.",S25/J25)</x:f>
        <x:v>0.522</x:v>
      </x:c>
      <x:c r="U25" s="179" t="n">
        <x:f>L25*G25</x:f>
        <x:v>0</x:v>
      </x:c>
      <x:c r="V25" s="196" t="n">
        <x:f>IF(L25&gt;0,MIN(G25,'14 Drivers'!$D$52),0)</x:f>
        <x:v>0</x:v>
      </x:c>
      <x:c r="W25" s="179" t="n">
        <x:f>U25-V25</x:f>
        <x:v>0</x:v>
      </x:c>
      <x:c r="X25" s="179" t="n">
        <x:f>1+L25</x:f>
        <x:v>1</x:v>
      </x:c>
      <x:c r="Y25" s="179" t="n">
        <x:f>MAX(0,L25-1)</x:f>
        <x:v>0</x:v>
      </x:c>
    </x:row>
    <x:row r="26" ht="24" customHeight="1">
      <x:c r="B26" s="203" t="str">
        <x:f>'06 Draft Program Plan'!B26</x:f>
        <x:v>P20</x:v>
      </x:c>
      <x:c r="C26" s="203" t="str">
        <x:f>'06 Draft Program Plan'!C26</x:f>
        <x:v>Oct</x:v>
      </x:c>
      <x:c r="D26" s="203" t="str">
        <x:f>'06 Draft Program Plan'!D26</x:f>
        <x:v>Ella Fast</x:v>
      </x:c>
      <x:c r="E26" s="203" t="str">
        <x:f>'06 Draft Program Plan'!E26</x:f>
        <x:v>Promise First Ask Later</x:v>
      </x:c>
      <x:c r="F26" s="203" t="str">
        <x:f>'06 Draft Program Plan'!F26</x:f>
        <x:v>Large corporate</x:v>
      </x:c>
      <x:c r="G26" s="196" t="n">
        <x:f>'06 Draft Program Plan'!G26</x:f>
        <x:v>1</x:v>
      </x:c>
      <x:c r="H26" s="196" t="n">
        <x:f>IF(F26="Open",MIN('06 Draft Program Plan'!H26,'14 Drivers'!$D$45,INDEX('15 P1 Workings'!$D$32:$O$32,1,MATCH(C26,'15 P1 Workings'!$D$6:$O$6,0))),'06 Draft Program Plan'!H26)</x:f>
        <x:v>50</x:v>
      </x:c>
      <x:c r="I26" s="175" t="n">
        <x:f>'06 Draft Program Plan'!I26</x:f>
        <x:v>0</x:v>
      </x:c>
      <x:c r="J26" s="175" t="n">
        <x:f>IF(F26="Open",H26*I26,IF(F26="Large corporate",('14 Drivers'!$D$22+ROUNDUP(MAX(0,H26-'14 Drivers'!$D$24)/'14 Drivers'!$D$25,0)*'14 Drivers'!$D$23)*G26,'14 Drivers'!$D$22*G26))</x:f>
        <x:v>4450</x:v>
      </x:c>
      <x:c r="K26" s="175" t="n">
        <x:f>-G26*INDEX('14 Drivers'!$D$9:$O$9,1,MATCH(C26,'14 Drivers'!$D$6:$O$6,0))</x:f>
        <x:v>-770.0000000000001</x:v>
      </x:c>
      <x:c r="L26" s="196" t="n">
        <x:f>IF(F26="Large corporate",MAX(0,ROUNDUP(H26/'14 Drivers'!$D$27,0)-1),0)</x:f>
        <x:v>1</x:v>
      </x:c>
      <x:c r="M26" s="175" t="n">
        <x:f>-L26*G26*INDEX('14 Drivers'!$D$9:$O$9,1,MATCH(C26,'14 Drivers'!$D$6:$O$6,0))*'14 Drivers'!$D$30</x:f>
        <x:v>-192.50000000000003</x:v>
      </x:c>
      <x:c r="N26" s="175" t="n">
        <x:f>-IF(F26="Open",G26*'14 Drivers'!$D$32,0)</x:f>
        <x:v>0</x:v>
      </x:c>
      <x:c r="O26" s="175" t="n">
        <x:f>-'06 Draft Program Plan'!O26</x:f>
        <x:v>-700</x:v>
      </x:c>
      <x:c r="P26" s="175" t="n">
        <x:f>-H26*G26*'14 Drivers'!$D$31</x:f>
        <x:v>-750</x:v>
      </x:c>
      <x:c r="Q26" s="175" t="n">
        <x:f>-J26*'14 Drivers'!$D$33</x:f>
        <x:v>-222.5</x:v>
      </x:c>
      <x:c r="R26" s="174" t="n">
        <x:f>SUM(K26,M26:Q26)</x:f>
        <x:v>-2635</x:v>
      </x:c>
      <x:c r="S26" s="174" t="n">
        <x:f>SUM(J26,R26)</x:f>
        <x:v>1815</x:v>
      </x:c>
      <x:c r="T26" s="192" t="n">
        <x:f>IF(J26=0,"n.a.",S26/J26)</x:f>
        <x:v>0.40786516853932586</x:v>
      </x:c>
      <x:c r="U26" s="179" t="n">
        <x:f>L26*G26</x:f>
        <x:v>1</x:v>
      </x:c>
      <x:c r="V26" s="196" t="n">
        <x:f>IF(L26&gt;0,MIN(G26,'14 Drivers'!$D$52),0)</x:f>
        <x:v>1</x:v>
      </x:c>
      <x:c r="W26" s="179" t="n">
        <x:f>U26-V26</x:f>
        <x:v>0</x:v>
      </x:c>
      <x:c r="X26" s="179" t="n">
        <x:f>1+L26</x:f>
        <x:v>2</x:v>
      </x:c>
      <x:c r="Y26" s="179" t="n">
        <x:f>MAX(0,L26-1)</x:f>
        <x:v>0</x:v>
      </x:c>
    </x:row>
    <x:row r="27" ht="24" customHeight="1">
      <x:c r="B27" s="203" t="str">
        <x:f>'06 Draft Program Plan'!B27</x:f>
        <x:v>P21</x:v>
      </x:c>
      <x:c r="C27" s="203" t="str">
        <x:f>'06 Draft Program Plan'!C27</x:f>
        <x:v>Oct</x:v>
      </x:c>
      <x:c r="D27" s="203" t="str">
        <x:f>'06 Draft Program Plan'!D27</x:f>
        <x:v>Linda Smile</x:v>
      </x:c>
      <x:c r="E27" s="203" t="str">
        <x:f>'06 Draft Program Plan'!E27</x:f>
        <x:v>Advanced Micromanagement</x:v>
      </x:c>
      <x:c r="F27" s="203" t="str">
        <x:f>'06 Draft Program Plan'!F27</x:f>
        <x:v>Open</x:v>
      </x:c>
      <x:c r="G27" s="196" t="n">
        <x:f>'06 Draft Program Plan'!G27</x:f>
        <x:v>2</x:v>
      </x:c>
      <x:c r="H27" s="196" t="n">
        <x:f>IF(F27="Open",MIN('06 Draft Program Plan'!H27,'14 Drivers'!$D$45,INDEX('15 P1 Workings'!$D$32:$O$32,1,MATCH(C27,'15 P1 Workings'!$D$6:$O$6,0))),'06 Draft Program Plan'!H27)</x:f>
        <x:v>17</x:v>
      </x:c>
      <x:c r="I27" s="175" t="n">
        <x:f>'06 Draft Program Plan'!I27</x:f>
        <x:v>500</x:v>
      </x:c>
      <x:c r="J27" s="175" t="n">
        <x:f>IF(F27="Open",H27*I27,IF(F27="Large corporate",('14 Drivers'!$D$22+ROUNDUP(MAX(0,H27-'14 Drivers'!$D$24)/'14 Drivers'!$D$25,0)*'14 Drivers'!$D$23)*G27,'14 Drivers'!$D$22*G27))</x:f>
        <x:v>8500</x:v>
      </x:c>
      <x:c r="K27" s="175" t="n">
        <x:f>-G27*INDEX('14 Drivers'!$D$9:$O$9,1,MATCH(C27,'14 Drivers'!$D$6:$O$6,0))</x:f>
        <x:v>-1540.0000000000002</x:v>
      </x:c>
      <x:c r="L27" s="196" t="n">
        <x:f>IF(F27="Large corporate",MAX(0,ROUNDUP(H27/'14 Drivers'!$D$27,0)-1),0)</x:f>
        <x:v>0</x:v>
      </x:c>
      <x:c r="M27" s="175" t="n">
        <x:f>-L27*G27*INDEX('14 Drivers'!$D$9:$O$9,1,MATCH(C27,'14 Drivers'!$D$6:$O$6,0))*'14 Drivers'!$D$30</x:f>
        <x:v>0</x:v>
      </x:c>
      <x:c r="N27" s="175" t="n">
        <x:f>-IF(F27="Open",G27*'14 Drivers'!$D$32,0)</x:f>
        <x:v>-1200</x:v>
      </x:c>
      <x:c r="O27" s="175" t="n">
        <x:f>-'06 Draft Program Plan'!O27</x:f>
        <x:v>0</x:v>
      </x:c>
      <x:c r="P27" s="175" t="n">
        <x:f>-H27*G27*'14 Drivers'!$D$31</x:f>
        <x:v>-510</x:v>
      </x:c>
      <x:c r="Q27" s="175" t="n">
        <x:f>-J27*'14 Drivers'!$D$33</x:f>
        <x:v>-425</x:v>
      </x:c>
      <x:c r="R27" s="174" t="n">
        <x:f>SUM(K27,M27:Q27)</x:f>
        <x:v>-3675</x:v>
      </x:c>
      <x:c r="S27" s="174" t="n">
        <x:f>SUM(J27,R27)</x:f>
        <x:v>4825</x:v>
      </x:c>
      <x:c r="T27" s="192" t="n">
        <x:f>IF(J27=0,"n.a.",S27/J27)</x:f>
        <x:v>0.5676470588235294</x:v>
      </x:c>
      <x:c r="U27" s="179" t="n">
        <x:f>L27*G27</x:f>
        <x:v>0</x:v>
      </x:c>
      <x:c r="V27" s="196" t="n">
        <x:f>IF(L27&gt;0,MIN(G27,'14 Drivers'!$D$52),0)</x:f>
        <x:v>0</x:v>
      </x:c>
      <x:c r="W27" s="179" t="n">
        <x:f>U27-V27</x:f>
        <x:v>0</x:v>
      </x:c>
      <x:c r="X27" s="179" t="n">
        <x:f>1+L27</x:f>
        <x:v>1</x:v>
      </x:c>
      <x:c r="Y27" s="179" t="n">
        <x:f>MAX(0,L27-1)</x:f>
        <x:v>0</x:v>
      </x:c>
    </x:row>
    <x:row r="28" ht="24" customHeight="1">
      <x:c r="B28" s="203" t="str">
        <x:f>'06 Draft Program Plan'!B28</x:f>
        <x:v>P22</x:v>
      </x:c>
      <x:c r="C28" s="203" t="str">
        <x:f>'06 Draft Program Plan'!C28</x:f>
        <x:v>Nov</x:v>
      </x:c>
      <x:c r="D28" s="203" t="str">
        <x:f>'06 Draft Program Plan'!D28</x:f>
        <x:v>Anna Power</x:v>
      </x:c>
      <x:c r="E28" s="203" t="str">
        <x:f>'06 Draft Program Plan'!E28</x:f>
        <x:v>Meetings About Meetings</x:v>
      </x:c>
      <x:c r="F28" s="203" t="str">
        <x:f>'06 Draft Program Plan'!F28</x:f>
        <x:v>Standard corporate</x:v>
      </x:c>
      <x:c r="G28" s="196" t="n">
        <x:f>'06 Draft Program Plan'!G28</x:f>
        <x:v>2</x:v>
      </x:c>
      <x:c r="H28" s="196" t="n">
        <x:f>IF(F28="Open",MIN('06 Draft Program Plan'!H28,'14 Drivers'!$D$45,INDEX('15 P1 Workings'!$D$32:$O$32,1,MATCH(C28,'15 P1 Workings'!$D$6:$O$6,0))),'06 Draft Program Plan'!H28)</x:f>
        <x:v>20</x:v>
      </x:c>
      <x:c r="I28" s="175" t="n">
        <x:f>'06 Draft Program Plan'!I28</x:f>
        <x:v>0</x:v>
      </x:c>
      <x:c r="J28" s="175" t="n">
        <x:f>IF(F28="Open",H28*I28,IF(F28="Large corporate",('14 Drivers'!$D$22+ROUNDUP(MAX(0,H28-'14 Drivers'!$D$24)/'14 Drivers'!$D$25,0)*'14 Drivers'!$D$23)*G28,'14 Drivers'!$D$22*G28))</x:f>
        <x:v>5000</x:v>
      </x:c>
      <x:c r="K28" s="175" t="n">
        <x:f>-G28*INDEX('14 Drivers'!$D$9:$O$9,1,MATCH(C28,'14 Drivers'!$D$6:$O$6,0))</x:f>
        <x:v>-1540.0000000000002</x:v>
      </x:c>
      <x:c r="L28" s="196" t="n">
        <x:f>IF(F28="Large corporate",MAX(0,ROUNDUP(H28/'14 Drivers'!$D$27,0)-1),0)</x:f>
        <x:v>0</x:v>
      </x:c>
      <x:c r="M28" s="175" t="n">
        <x:f>-L28*G28*INDEX('14 Drivers'!$D$9:$O$9,1,MATCH(C28,'14 Drivers'!$D$6:$O$6,0))*'14 Drivers'!$D$30</x:f>
        <x:v>0</x:v>
      </x:c>
      <x:c r="N28" s="175" t="n">
        <x:f>-IF(F28="Open",G28*'14 Drivers'!$D$32,0)</x:f>
        <x:v>0</x:v>
      </x:c>
      <x:c r="O28" s="175" t="n">
        <x:f>-'06 Draft Program Plan'!O28</x:f>
        <x:v>-250</x:v>
      </x:c>
      <x:c r="P28" s="175" t="n">
        <x:f>-H28*G28*'14 Drivers'!$D$31</x:f>
        <x:v>-600</x:v>
      </x:c>
      <x:c r="Q28" s="175" t="n">
        <x:f>-J28*'14 Drivers'!$D$33</x:f>
        <x:v>-250</x:v>
      </x:c>
      <x:c r="R28" s="174" t="n">
        <x:f>SUM(K28,M28:Q28)</x:f>
        <x:v>-2640</x:v>
      </x:c>
      <x:c r="S28" s="174" t="n">
        <x:f>SUM(J28,R28)</x:f>
        <x:v>2360</x:v>
      </x:c>
      <x:c r="T28" s="192" t="n">
        <x:f>IF(J28=0,"n.a.",S28/J28)</x:f>
        <x:v>0.472</x:v>
      </x:c>
      <x:c r="U28" s="179" t="n">
        <x:f>L28*G28</x:f>
        <x:v>0</x:v>
      </x:c>
      <x:c r="V28" s="196" t="n">
        <x:f>IF(L28&gt;0,MIN(G28,'14 Drivers'!$D$52),0)</x:f>
        <x:v>0</x:v>
      </x:c>
      <x:c r="W28" s="179" t="n">
        <x:f>U28-V28</x:f>
        <x:v>0</x:v>
      </x:c>
      <x:c r="X28" s="179" t="n">
        <x:f>1+L28</x:f>
        <x:v>1</x:v>
      </x:c>
      <x:c r="Y28" s="179" t="n">
        <x:f>MAX(0,L28-1)</x:f>
        <x:v>0</x:v>
      </x:c>
    </x:row>
    <x:row r="29" ht="24" customHeight="1">
      <x:c r="B29" s="203" t="str">
        <x:f>'06 Draft Program Plan'!B29</x:f>
        <x:v>P23</x:v>
      </x:c>
      <x:c r="C29" s="203" t="str">
        <x:f>'06 Draft Program Plan'!C29</x:f>
        <x:v>Nov</x:v>
      </x:c>
      <x:c r="D29" s="203" t="str">
        <x:f>'06 Draft Program Plan'!D29</x:f>
        <x:v>Mark Pressure</x:v>
      </x:c>
      <x:c r="E29" s="203" t="str">
        <x:f>'06 Draft Program Plan'!E29</x:f>
        <x:v>Call Until They Buy</x:v>
      </x:c>
      <x:c r="F29" s="203" t="str">
        <x:f>'06 Draft Program Plan'!F29</x:f>
        <x:v>Large corporate</x:v>
      </x:c>
      <x:c r="G29" s="196" t="n">
        <x:f>'06 Draft Program Plan'!G29</x:f>
        <x:v>2</x:v>
      </x:c>
      <x:c r="H29" s="196" t="n">
        <x:f>IF(F29="Open",MIN('06 Draft Program Plan'!H29,'14 Drivers'!$D$45,INDEX('15 P1 Workings'!$D$32:$O$32,1,MATCH(C29,'15 P1 Workings'!$D$6:$O$6,0))),'06 Draft Program Plan'!H29)</x:f>
        <x:v>80</x:v>
      </x:c>
      <x:c r="I29" s="175" t="n">
        <x:f>'06 Draft Program Plan'!I29</x:f>
        <x:v>0</x:v>
      </x:c>
      <x:c r="J29" s="175" t="n">
        <x:f>IF(F29="Open",H29*I29,IF(F29="Large corporate",('14 Drivers'!$D$22+ROUNDUP(MAX(0,H29-'14 Drivers'!$D$24)/'14 Drivers'!$D$25,0)*'14 Drivers'!$D$23)*G29,'14 Drivers'!$D$22*G29))</x:f>
        <x:v>12800</x:v>
      </x:c>
      <x:c r="K29" s="175" t="n">
        <x:f>-G29*INDEX('14 Drivers'!$D$9:$O$9,1,MATCH(C29,'14 Drivers'!$D$6:$O$6,0))</x:f>
        <x:v>-1540.0000000000002</x:v>
      </x:c>
      <x:c r="L29" s="196" t="n">
        <x:f>IF(F29="Large corporate",MAX(0,ROUNDUP(H29/'14 Drivers'!$D$27,0)-1),0)</x:f>
        <x:v>2</x:v>
      </x:c>
      <x:c r="M29" s="175" t="n">
        <x:f>-L29*G29*INDEX('14 Drivers'!$D$9:$O$9,1,MATCH(C29,'14 Drivers'!$D$6:$O$6,0))*'14 Drivers'!$D$30</x:f>
        <x:v>-770.0000000000001</x:v>
      </x:c>
      <x:c r="N29" s="175" t="n">
        <x:f>-IF(F29="Open",G29*'14 Drivers'!$D$32,0)</x:f>
        <x:v>0</x:v>
      </x:c>
      <x:c r="O29" s="175" t="n">
        <x:f>-'06 Draft Program Plan'!O29</x:f>
        <x:v>-800</x:v>
      </x:c>
      <x:c r="P29" s="175" t="n">
        <x:f>-H29*G29*'14 Drivers'!$D$31</x:f>
        <x:v>-2400</x:v>
      </x:c>
      <x:c r="Q29" s="175" t="n">
        <x:f>-J29*'14 Drivers'!$D$33</x:f>
        <x:v>-640</x:v>
      </x:c>
      <x:c r="R29" s="174" t="n">
        <x:f>SUM(K29,M29:Q29)</x:f>
        <x:v>-6150</x:v>
      </x:c>
      <x:c r="S29" s="174" t="n">
        <x:f>SUM(J29,R29)</x:f>
        <x:v>6650</x:v>
      </x:c>
      <x:c r="T29" s="192" t="n">
        <x:f>IF(J29=0,"n.a.",S29/J29)</x:f>
        <x:v>0.51953125</x:v>
      </x:c>
      <x:c r="U29" s="179" t="n">
        <x:f>L29*G29</x:f>
        <x:v>4</x:v>
      </x:c>
      <x:c r="V29" s="196" t="n">
        <x:f>IF(L29&gt;0,MIN(G29,'14 Drivers'!$D$52),0)</x:f>
        <x:v>2</x:v>
      </x:c>
      <x:c r="W29" s="179" t="n">
        <x:f>U29-V29</x:f>
        <x:v>2</x:v>
      </x:c>
      <x:c r="X29" s="179" t="n">
        <x:f>1+L29</x:f>
        <x:v>3</x:v>
      </x:c>
      <x:c r="Y29" s="179" t="n">
        <x:f>MAX(0,L29-1)</x:f>
        <x:v>1</x:v>
      </x:c>
    </x:row>
    <x:row r="30" ht="24" customHeight="1">
      <x:c r="B30" s="203" t="str">
        <x:f>'06 Draft Program Plan'!B30</x:f>
        <x:v>P24</x:v>
      </x:c>
      <x:c r="C30" s="203" t="str">
        <x:f>'06 Draft Program Plan'!C30</x:f>
        <x:v>Nov</x:v>
      </x:c>
      <x:c r="D30" s="203" t="str">
        <x:f>'06 Draft Program Plan'!D30</x:f>
        <x:v>Linda Smile</x:v>
      </x:c>
      <x:c r="E30" s="203" t="str">
        <x:f>'06 Draft Program Plan'!E30</x:f>
        <x:v>How to Look Busy All Day</x:v>
      </x:c>
      <x:c r="F30" s="203" t="str">
        <x:f>'06 Draft Program Plan'!F30</x:f>
        <x:v>Open</x:v>
      </x:c>
      <x:c r="G30" s="196" t="n">
        <x:f>'06 Draft Program Plan'!G30</x:f>
        <x:v>1</x:v>
      </x:c>
      <x:c r="H30" s="196" t="n">
        <x:f>IF(F30="Open",MIN('06 Draft Program Plan'!H30,'14 Drivers'!$D$45,INDEX('15 P1 Workings'!$D$32:$O$32,1,MATCH(C30,'15 P1 Workings'!$D$6:$O$6,0))),'06 Draft Program Plan'!H30)</x:f>
        <x:v>19</x:v>
      </x:c>
      <x:c r="I30" s="175" t="n">
        <x:f>'06 Draft Program Plan'!I30</x:f>
        <x:v>200</x:v>
      </x:c>
      <x:c r="J30" s="175" t="n">
        <x:f>IF(F30="Open",H30*I30,IF(F30="Large corporate",('14 Drivers'!$D$22+ROUNDUP(MAX(0,H30-'14 Drivers'!$D$24)/'14 Drivers'!$D$25,0)*'14 Drivers'!$D$23)*G30,'14 Drivers'!$D$22*G30))</x:f>
        <x:v>3800</x:v>
      </x:c>
      <x:c r="K30" s="175" t="n">
        <x:f>-G30*INDEX('14 Drivers'!$D$9:$O$9,1,MATCH(C30,'14 Drivers'!$D$6:$O$6,0))</x:f>
        <x:v>-770.0000000000001</x:v>
      </x:c>
      <x:c r="L30" s="196" t="n">
        <x:f>IF(F30="Large corporate",MAX(0,ROUNDUP(H30/'14 Drivers'!$D$27,0)-1),0)</x:f>
        <x:v>0</x:v>
      </x:c>
      <x:c r="M30" s="175" t="n">
        <x:f>-L30*G30*INDEX('14 Drivers'!$D$9:$O$9,1,MATCH(C30,'14 Drivers'!$D$6:$O$6,0))*'14 Drivers'!$D$30</x:f>
        <x:v>0</x:v>
      </x:c>
      <x:c r="N30" s="175" t="n">
        <x:f>-IF(F30="Open",G30*'14 Drivers'!$D$32,0)</x:f>
        <x:v>-600</x:v>
      </x:c>
      <x:c r="O30" s="175" t="n">
        <x:f>-'06 Draft Program Plan'!O30</x:f>
        <x:v>0</x:v>
      </x:c>
      <x:c r="P30" s="175" t="n">
        <x:f>-H30*G30*'14 Drivers'!$D$31</x:f>
        <x:v>-285</x:v>
      </x:c>
      <x:c r="Q30" s="175" t="n">
        <x:f>-J30*'14 Drivers'!$D$33</x:f>
        <x:v>-190</x:v>
      </x:c>
      <x:c r="R30" s="174" t="n">
        <x:f>SUM(K30,M30:Q30)</x:f>
        <x:v>-1845</x:v>
      </x:c>
      <x:c r="S30" s="174" t="n">
        <x:f>SUM(J30,R30)</x:f>
        <x:v>1955</x:v>
      </x:c>
      <x:c r="T30" s="192" t="n">
        <x:f>IF(J30=0,"n.a.",S30/J30)</x:f>
        <x:v>0.5144736842105263</x:v>
      </x:c>
      <x:c r="U30" s="179" t="n">
        <x:f>L30*G30</x:f>
        <x:v>0</x:v>
      </x:c>
      <x:c r="V30" s="196" t="n">
        <x:f>IF(L30&gt;0,MIN(G30,'14 Drivers'!$D$52),0)</x:f>
        <x:v>0</x:v>
      </x:c>
      <x:c r="W30" s="179" t="n">
        <x:f>U30-V30</x:f>
        <x:v>0</x:v>
      </x:c>
      <x:c r="X30" s="179" t="n">
        <x:f>1+L30</x:f>
        <x:v>1</x:v>
      </x:c>
      <x:c r="Y30" s="179" t="n">
        <x:f>MAX(0,L30-1)</x:f>
        <x:v>0</x:v>
      </x:c>
    </x:row>
    <x:row r="31" ht="24" customHeight="1">
      <x:c r="B31" s="203" t="str">
        <x:f>'06 Draft Program Plan'!B31</x:f>
        <x:v>P25</x:v>
      </x:c>
      <x:c r="C31" s="203" t="str">
        <x:f>'06 Draft Program Plan'!C31</x:f>
        <x:v>Dec</x:v>
      </x:c>
      <x:c r="D31" s="203" t="str">
        <x:f>'06 Draft Program Plan'!D31</x:f>
        <x:v>Peter Late</x:v>
      </x:c>
      <x:c r="E31" s="203" t="str">
        <x:f>'06 Draft Program Plan'!E31</x:f>
        <x:v>Professional Blame Delegation</x:v>
      </x:c>
      <x:c r="F31" s="203" t="str">
        <x:f>'06 Draft Program Plan'!F31</x:f>
        <x:v>Standard corporate</x:v>
      </x:c>
      <x:c r="G31" s="196" t="n">
        <x:f>'06 Draft Program Plan'!G31</x:f>
        <x:v>1</x:v>
      </x:c>
      <x:c r="H31" s="196" t="n">
        <x:f>IF(F31="Open",MIN('06 Draft Program Plan'!H31,'14 Drivers'!$D$45,INDEX('15 P1 Workings'!$D$32:$O$32,1,MATCH(C31,'15 P1 Workings'!$D$6:$O$6,0))),'06 Draft Program Plan'!H31)</x:f>
        <x:v>20</x:v>
      </x:c>
      <x:c r="I31" s="175" t="n">
        <x:f>'06 Draft Program Plan'!I31</x:f>
        <x:v>0</x:v>
      </x:c>
      <x:c r="J31" s="175" t="n">
        <x:f>IF(F31="Open",H31*I31,IF(F31="Large corporate",('14 Drivers'!$D$22+ROUNDUP(MAX(0,H31-'14 Drivers'!$D$24)/'14 Drivers'!$D$25,0)*'14 Drivers'!$D$23)*G31,'14 Drivers'!$D$22*G31))</x:f>
        <x:v>2500</x:v>
      </x:c>
      <x:c r="K31" s="175" t="n">
        <x:f>-G31*INDEX('14 Drivers'!$D$9:$O$9,1,MATCH(C31,'14 Drivers'!$D$6:$O$6,0))</x:f>
        <x:v>-770.0000000000001</x:v>
      </x:c>
      <x:c r="L31" s="196" t="n">
        <x:f>IF(F31="Large corporate",MAX(0,ROUNDUP(H31/'14 Drivers'!$D$27,0)-1),0)</x:f>
        <x:v>0</x:v>
      </x:c>
      <x:c r="M31" s="175" t="n">
        <x:f>-L31*G31*INDEX('14 Drivers'!$D$9:$O$9,1,MATCH(C31,'14 Drivers'!$D$6:$O$6,0))*'14 Drivers'!$D$30</x:f>
        <x:v>0</x:v>
      </x:c>
      <x:c r="N31" s="175" t="n">
        <x:f>-IF(F31="Open",G31*'14 Drivers'!$D$32,0)</x:f>
        <x:v>0</x:v>
      </x:c>
      <x:c r="O31" s="175" t="n">
        <x:f>-'06 Draft Program Plan'!O31</x:f>
        <x:v>0</x:v>
      </x:c>
      <x:c r="P31" s="175" t="n">
        <x:f>-H31*G31*'14 Drivers'!$D$31</x:f>
        <x:v>-300</x:v>
      </x:c>
      <x:c r="Q31" s="175" t="n">
        <x:f>-J31*'14 Drivers'!$D$33</x:f>
        <x:v>-125</x:v>
      </x:c>
      <x:c r="R31" s="174" t="n">
        <x:f>SUM(K31,M31:Q31)</x:f>
        <x:v>-1195</x:v>
      </x:c>
      <x:c r="S31" s="174" t="n">
        <x:f>SUM(J31,R31)</x:f>
        <x:v>1305</x:v>
      </x:c>
      <x:c r="T31" s="192" t="n">
        <x:f>IF(J31=0,"n.a.",S31/J31)</x:f>
        <x:v>0.522</x:v>
      </x:c>
      <x:c r="U31" s="179" t="n">
        <x:f>L31*G31</x:f>
        <x:v>0</x:v>
      </x:c>
      <x:c r="V31" s="196" t="n">
        <x:f>IF(L31&gt;0,MIN(G31,'14 Drivers'!$D$52),0)</x:f>
        <x:v>0</x:v>
      </x:c>
      <x:c r="W31" s="179" t="n">
        <x:f>U31-V31</x:f>
        <x:v>0</x:v>
      </x:c>
      <x:c r="X31" s="179" t="n">
        <x:f>1+L31</x:f>
        <x:v>1</x:v>
      </x:c>
      <x:c r="Y31" s="179" t="n">
        <x:f>MAX(0,L31-1)</x:f>
        <x:v>0</x:v>
      </x:c>
    </x:row>
    <x:row r="32" ht="24" customHeight="1">
      <x:c r="B32" s="203" t="str">
        <x:f>'06 Draft Program Plan'!B32</x:f>
        <x:v>P26</x:v>
      </x:c>
      <x:c r="C32" s="203" t="str">
        <x:f>'06 Draft Program Plan'!C32</x:f>
        <x:v>Dec</x:v>
      </x:c>
      <x:c r="D32" s="203" t="str">
        <x:f>'06 Draft Program Plan'!D32</x:f>
        <x:v>Ella Fast</x:v>
      </x:c>
      <x:c r="E32" s="203" t="str">
        <x:f>'06 Draft Program Plan'!E32</x:f>
        <x:v>Advanced Micromanagement</x:v>
      </x:c>
      <x:c r="F32" s="203" t="str">
        <x:f>'06 Draft Program Plan'!F32</x:f>
        <x:v>Standard corporate</x:v>
      </x:c>
      <x:c r="G32" s="196" t="n">
        <x:f>'06 Draft Program Plan'!G32</x:f>
        <x:v>2</x:v>
      </x:c>
      <x:c r="H32" s="196" t="n">
        <x:f>IF(F32="Open",MIN('06 Draft Program Plan'!H32,'14 Drivers'!$D$45,INDEX('15 P1 Workings'!$D$32:$O$32,1,MATCH(C32,'15 P1 Workings'!$D$6:$O$6,0))),'06 Draft Program Plan'!H32)</x:f>
        <x:v>20</x:v>
      </x:c>
      <x:c r="I32" s="175" t="n">
        <x:f>'06 Draft Program Plan'!I32</x:f>
        <x:v>0</x:v>
      </x:c>
      <x:c r="J32" s="175" t="n">
        <x:f>IF(F32="Open",H32*I32,IF(F32="Large corporate",('14 Drivers'!$D$22+ROUNDUP(MAX(0,H32-'14 Drivers'!$D$24)/'14 Drivers'!$D$25,0)*'14 Drivers'!$D$23)*G32,'14 Drivers'!$D$22*G32))</x:f>
        <x:v>5000</x:v>
      </x:c>
      <x:c r="K32" s="175" t="n">
        <x:f>-G32*INDEX('14 Drivers'!$D$9:$O$9,1,MATCH(C32,'14 Drivers'!$D$6:$O$6,0))</x:f>
        <x:v>-1540.0000000000002</x:v>
      </x:c>
      <x:c r="L32" s="196" t="n">
        <x:f>IF(F32="Large corporate",MAX(0,ROUNDUP(H32/'14 Drivers'!$D$27,0)-1),0)</x:f>
        <x:v>0</x:v>
      </x:c>
      <x:c r="M32" s="175" t="n">
        <x:f>-L32*G32*INDEX('14 Drivers'!$D$9:$O$9,1,MATCH(C32,'14 Drivers'!$D$6:$O$6,0))*'14 Drivers'!$D$30</x:f>
        <x:v>0</x:v>
      </x:c>
      <x:c r="N32" s="175" t="n">
        <x:f>-IF(F32="Open",G32*'14 Drivers'!$D$32,0)</x:f>
        <x:v>0</x:v>
      </x:c>
      <x:c r="O32" s="175" t="n">
        <x:f>-'06 Draft Program Plan'!O32</x:f>
        <x:v>-450</x:v>
      </x:c>
      <x:c r="P32" s="175" t="n">
        <x:f>-H32*G32*'14 Drivers'!$D$31</x:f>
        <x:v>-600</x:v>
      </x:c>
      <x:c r="Q32" s="175" t="n">
        <x:f>-J32*'14 Drivers'!$D$33</x:f>
        <x:v>-250</x:v>
      </x:c>
      <x:c r="R32" s="174" t="n">
        <x:f>SUM(K32,M32:Q32)</x:f>
        <x:v>-2840</x:v>
      </x:c>
      <x:c r="S32" s="174" t="n">
        <x:f>SUM(J32,R32)</x:f>
        <x:v>2160</x:v>
      </x:c>
      <x:c r="T32" s="192" t="n">
        <x:f>IF(J32=0,"n.a.",S32/J32)</x:f>
        <x:v>0.432</x:v>
      </x:c>
      <x:c r="U32" s="179" t="n">
        <x:f>L32*G32</x:f>
        <x:v>0</x:v>
      </x:c>
      <x:c r="V32" s="196" t="n">
        <x:f>IF(L32&gt;0,MIN(G32,'14 Drivers'!$D$52),0)</x:f>
        <x:v>0</x:v>
      </x:c>
      <x:c r="W32" s="179" t="n">
        <x:f>U32-V32</x:f>
        <x:v>0</x:v>
      </x:c>
      <x:c r="X32" s="179" t="n">
        <x:f>1+L32</x:f>
        <x:v>1</x:v>
      </x:c>
      <x:c r="Y32" s="179" t="n">
        <x:f>MAX(0,L32-1)</x:f>
        <x:v>0</x:v>
      </x:c>
    </x:row>
    <x:row r="33" ht="24" customHeight="1">
      <x:c r="B33" s="164"/>
      <x:c r="C33" s="164"/>
      <x:c r="D33" s="164"/>
      <x:c r="E33" s="164"/>
      <x:c r="F33" s="164"/>
      <x:c r="G33" s="179"/>
      <x:c r="H33" s="179"/>
      <x:c r="I33" s="174"/>
      <x:c r="J33" s="174"/>
      <x:c r="K33" s="174"/>
      <x:c r="L33" s="179"/>
      <x:c r="M33" s="174"/>
      <x:c r="N33" s="174"/>
      <x:c r="O33" s="174"/>
      <x:c r="P33" s="174"/>
      <x:c r="Q33" s="174"/>
      <x:c r="R33" s="174"/>
      <x:c r="S33" s="174"/>
      <x:c r="T33" s="192"/>
      <x:c r="U33" s="179"/>
      <x:c r="V33" s="179"/>
      <x:c r="W33" s="179"/>
      <x:c r="X33" s="179"/>
      <x:c r="Y33" s="179"/>
    </x:row>
    <x:row r="34" ht="24" customHeight="1">
      <x:c r="B34" s="183" t="str">
        <x:v>Total</x:v>
      </x:c>
      <x:c r="C34" s="183"/>
      <x:c r="D34" s="183"/>
      <x:c r="E34" s="183"/>
      <x:c r="F34" s="183"/>
      <x:c r="G34" s="200" t="n">
        <x:f>SUM(G7:G32)</x:f>
        <x:v>43</x:v>
      </x:c>
      <x:c r="H34" s="200" t="n">
        <x:f>SUM(H7:H32)</x:f>
        <x:v>798</x:v>
      </x:c>
      <x:c r="I34" s="185"/>
      <x:c r="J34" s="185" t="n">
        <x:f>SUM(J7:J32)</x:f>
        <x:v>152100</x:v>
      </x:c>
      <x:c r="K34" s="185" t="n">
        <x:f>SUM(K7:K32)</x:f>
        <x:v>-31710</x:v>
      </x:c>
      <x:c r="L34" s="200"/>
      <x:c r="M34" s="185" t="n">
        <x:f>SUM(M7:M32)</x:f>
        <x:v>-3517.5</x:v>
      </x:c>
      <x:c r="N34" s="185" t="n">
        <x:f>SUM(N7:N32)</x:f>
        <x:v>-6600</x:v>
      </x:c>
      <x:c r="O34" s="185" t="n">
        <x:f>SUM(O7:O32)</x:f>
        <x:v>-7450</x:v>
      </x:c>
      <x:c r="P34" s="185" t="n">
        <x:f>SUM(P7:P32)</x:f>
        <x:v>-20100</x:v>
      </x:c>
      <x:c r="Q34" s="185" t="n">
        <x:f>SUM(Q7:Q32)</x:f>
        <x:v>-7605</x:v>
      </x:c>
      <x:c r="R34" s="185" t="n">
        <x:f>SUM(R7:R32)</x:f>
        <x:v>-76982.5</x:v>
      </x:c>
      <x:c r="S34" s="185" t="n">
        <x:f>SUM(S7:S32)</x:f>
        <x:v>75117.5</x:v>
      </x:c>
      <x:c r="T34" s="205" t="n">
        <x:f>S34/J34</x:f>
        <x:v>0.4938691650230112</x:v>
      </x:c>
      <x:c r="U34" s="200" t="n">
        <x:f>SUM(U7:U32)</x:f>
        <x:v>19</x:v>
      </x:c>
      <x:c r="V34" s="200" t="n">
        <x:f>SUM(V7:V32)</x:f>
        <x:v>10</x:v>
      </x:c>
      <x:c r="W34" s="200" t="n">
        <x:f>SUM(W7:W32)</x:f>
        <x:v>9</x:v>
      </x:c>
      <x:c r="X34" s="200"/>
      <x:c r="Y34" s="200"/>
    </x:row>
    <x:row r="35" ht="24" customHeight="1">
      <x:c r="B35" s="164"/>
      <x:c r="C35" s="164"/>
      <x:c r="D35" s="164"/>
      <x:c r="E35" s="164"/>
      <x:c r="F35" s="164"/>
      <x:c r="G35" s="179"/>
      <x:c r="H35" s="179"/>
      <x:c r="I35" s="174"/>
      <x:c r="J35" s="174"/>
      <x:c r="K35" s="174"/>
      <x:c r="L35" s="179"/>
      <x:c r="M35" s="174"/>
      <x:c r="N35" s="174"/>
      <x:c r="O35" s="174"/>
      <x:c r="P35" s="174"/>
      <x:c r="Q35" s="174"/>
      <x:c r="R35" s="174"/>
      <x:c r="S35" s="174"/>
      <x:c r="T35" s="192"/>
      <x:c r="U35" s="179"/>
      <x:c r="V35" s="179"/>
      <x:c r="W35" s="179"/>
      <x:c r="X35" s="179"/>
      <x:c r="Y35" s="179"/>
    </x:row>
    <x:row r="36" ht="24" customHeight="1">
      <x:c r="B36" s="164"/>
      <x:c r="C36" s="164"/>
      <x:c r="D36" s="164"/>
      <x:c r="E36" s="164"/>
      <x:c r="F36" s="164"/>
      <x:c r="G36" s="179"/>
      <x:c r="H36" s="179"/>
      <x:c r="I36" s="174"/>
      <x:c r="J36" s="174"/>
      <x:c r="K36" s="174"/>
      <x:c r="L36" s="179"/>
      <x:c r="M36" s="174"/>
      <x:c r="N36" s="174"/>
      <x:c r="O36" s="174"/>
      <x:c r="P36" s="174"/>
      <x:c r="Q36" s="174"/>
      <x:c r="R36" s="174"/>
      <x:c r="S36" s="174"/>
      <x:c r="T36" s="192"/>
      <x:c r="U36" s="179"/>
      <x:c r="V36" s="179"/>
      <x:c r="W36" s="179"/>
      <x:c r="X36" s="179"/>
      <x:c r="Y36" s="179"/>
    </x:row>
    <x:row r="37" ht="24" customHeight="1">
      <x:c r="B37" s="180" t="str">
        <x:v>Part 2 additional premium open calendar</x:v>
      </x:c>
      <x:c r="C37" s="180"/>
      <x:c r="D37" s="180"/>
      <x:c r="E37" s="180"/>
      <x:c r="F37" s="180"/>
      <x:c r="G37" s="208"/>
      <x:c r="H37" s="208"/>
      <x:c r="I37" s="182"/>
      <x:c r="J37" s="182"/>
      <x:c r="K37" s="182"/>
      <x:c r="L37" s="208"/>
      <x:c r="M37" s="182"/>
      <x:c r="N37" s="182"/>
      <x:c r="O37" s="182"/>
      <x:c r="P37" s="182"/>
      <x:c r="Q37" s="182"/>
      <x:c r="R37" s="182"/>
      <x:c r="S37" s="182"/>
      <x:c r="T37" s="206"/>
      <x:c r="U37" s="208"/>
      <x:c r="V37" s="208"/>
      <x:c r="W37" s="208"/>
      <x:c r="X37" s="208"/>
      <x:c r="Y37" s="208"/>
    </x:row>
    <x:row r="38" ht="48" customHeight="1">
      <x:c r="B38" s="202" t="str">
        <x:v>ID</x:v>
      </x:c>
      <x:c r="C38" s="202" t="str">
        <x:v>Month</x:v>
      </x:c>
      <x:c r="D38" s="202" t="str">
        <x:v>Source owner</x:v>
      </x:c>
      <x:c r="E38" s="202" t="str">
        <x:v>Client / event</x:v>
      </x:c>
      <x:c r="F38" s="202" t="str">
        <x:v>Type</x:v>
      </x:c>
      <x:c r="G38" s="209" t="str">
        <x:v>Days</x:v>
      </x:c>
      <x:c r="H38" s="209" t="str">
        <x:v>Participants</x:v>
      </x:c>
      <x:c r="I38" s="204" t="str">
        <x:v>Seat price</x:v>
      </x:c>
      <x:c r="J38" s="204" t="str">
        <x:v>Revenue</x:v>
      </x:c>
      <x:c r="K38" s="204" t="str">
        <x:v>Lead cost</x:v>
      </x:c>
      <x:c r="L38" s="209" t="str">
        <x:v>Assistants</x:v>
      </x:c>
      <x:c r="M38" s="204" t="str">
        <x:v>Assistant cost</x:v>
      </x:c>
      <x:c r="N38" s="204" t="str">
        <x:v>Venue</x:v>
      </x:c>
      <x:c r="O38" s="204" t="str">
        <x:v>Travel</x:v>
      </x:c>
      <x:c r="P38" s="204" t="str">
        <x:v>Materials</x:v>
      </x:c>
      <x:c r="Q38" s="204" t="str">
        <x:v>Ordinary commission</x:v>
      </x:c>
      <x:c r="R38" s="204" t="str">
        <x:v>Direct costs</x:v>
      </x:c>
      <x:c r="S38" s="204" t="str">
        <x:v>Contribution</x:v>
      </x:c>
      <x:c r="T38" s="207" t="str">
        <x:v>Margin</x:v>
      </x:c>
      <x:c r="U38" s="209" t="str">
        <x:v>Assistant person-days</x:v>
      </x:c>
      <x:c r="V38" s="209" t="str">
        <x:v>Regular possible days</x:v>
      </x:c>
      <x:c r="W38" s="209" t="str">
        <x:v>Extra person-days</x:v>
      </x:c>
      <x:c r="X38" s="209" t="str">
        <x:v>Delivery people</x:v>
      </x:c>
      <x:c r="Y38" s="209" t="str">
        <x:v>Extra assistants</x:v>
      </x:c>
    </x:row>
    <x:row r="39" ht="24" customHeight="1">
      <x:c r="B39" s="164" t="str">
        <x:v>N01</x:v>
      </x:c>
      <x:c r="C39" s="164" t="str">
        <x:v>Feb</x:v>
      </x:c>
      <x:c r="D39" s="164" t="str">
        <x:v>Linda Smile</x:v>
      </x:c>
      <x:c r="E39" s="164" t="str">
        <x:v>Executive Blame Delegation</x:v>
      </x:c>
      <x:c r="F39" s="164" t="str">
        <x:v>Open</x:v>
      </x:c>
      <x:c r="G39" s="196" t="n">
        <x:f>'14 Drivers'!$D$49</x:f>
        <x:v>2</x:v>
      </x:c>
      <x:c r="H39" s="196" t="n">
        <x:f>INDEX('16 P2 Workings'!$D$17:$O$17,1,MATCH(C39,'16 P2 Workings'!$D$6:$O$6,0))</x:f>
        <x:v>14</x:v>
      </x:c>
      <x:c r="I39" s="175" t="n">
        <x:f>'14 Drivers'!$D$48</x:f>
        <x:v>600</x:v>
      </x:c>
      <x:c r="J39" s="175" t="n">
        <x:f>IF(F39="Open",H39*I39,IF(F39="Large corporate",('14 Drivers'!$D$22+ROUNDUP(MAX(0,H39-'14 Drivers'!$D$24)/'14 Drivers'!$D$25,0)*'14 Drivers'!$D$23)*G39,'14 Drivers'!$D$22*G39))</x:f>
        <x:v>8400</x:v>
      </x:c>
      <x:c r="K39" s="175" t="n">
        <x:f>-G39*INDEX('14 Drivers'!$D$9:$O$9,1,MATCH(C39,'14 Drivers'!$D$6:$O$6,0))</x:f>
        <x:v>-1400</x:v>
      </x:c>
      <x:c r="L39" s="196" t="n">
        <x:f>IF(F39="Large corporate",MAX(0,ROUNDUP(H39/'14 Drivers'!$D$27,0)-1),0)</x:f>
        <x:v>0</x:v>
      </x:c>
      <x:c r="M39" s="175" t="n">
        <x:f>-L39*G39*INDEX('14 Drivers'!$D$9:$O$9,1,MATCH(C39,'14 Drivers'!$D$6:$O$6,0))*'14 Drivers'!$D$30</x:f>
        <x:v>0</x:v>
      </x:c>
      <x:c r="N39" s="175" t="n">
        <x:f>-IF(F39="Open",G39*'14 Drivers'!$D$32,0)</x:f>
        <x:v>-1200</x:v>
      </x:c>
      <x:c r="O39" s="174" t="n">
        <x:v>0</x:v>
      </x:c>
      <x:c r="P39" s="175" t="n">
        <x:f>-H39*G39*'14 Drivers'!$D$31</x:f>
        <x:v>-420</x:v>
      </x:c>
      <x:c r="Q39" s="175" t="n">
        <x:f>-J39*'14 Drivers'!$D$33</x:f>
        <x:v>-420</x:v>
      </x:c>
      <x:c r="R39" s="174" t="n">
        <x:f>SUM(K39,M39:Q39)</x:f>
        <x:v>-3440</x:v>
      </x:c>
      <x:c r="S39" s="174" t="n">
        <x:f>SUM(J39,R39)</x:f>
        <x:v>4960</x:v>
      </x:c>
      <x:c r="T39" s="192" t="n">
        <x:f>IF(J39=0,"n.a.",S39/J39)</x:f>
        <x:v>0.5904761904761905</x:v>
      </x:c>
      <x:c r="U39" s="179" t="n">
        <x:f>L39*G39</x:f>
        <x:v>0</x:v>
      </x:c>
      <x:c r="V39" s="196" t="n">
        <x:f>IF(L39&gt;0,MIN(G39,'14 Drivers'!$D$52),0)</x:f>
        <x:v>0</x:v>
      </x:c>
      <x:c r="W39" s="179" t="n">
        <x:f>U39-V39</x:f>
        <x:v>0</x:v>
      </x:c>
      <x:c r="X39" s="179" t="n">
        <x:f>1+L39</x:f>
        <x:v>1</x:v>
      </x:c>
      <x:c r="Y39" s="179" t="n">
        <x:f>MAX(0,L39-1)</x:f>
        <x:v>0</x:v>
      </x:c>
    </x:row>
    <x:row r="40" ht="24" customHeight="1">
      <x:c r="B40" s="164" t="str">
        <x:v>N02</x:v>
      </x:c>
      <x:c r="C40" s="164" t="str">
        <x:v>Apr</x:v>
      </x:c>
      <x:c r="D40" s="164" t="str">
        <x:v>Linda Smile</x:v>
      </x:c>
      <x:c r="E40" s="164" t="str">
        <x:v>Executive Blame Delegation</x:v>
      </x:c>
      <x:c r="F40" s="164" t="str">
        <x:v>Open</x:v>
      </x:c>
      <x:c r="G40" s="196" t="n">
        <x:f>'14 Drivers'!$D$49</x:f>
        <x:v>2</x:v>
      </x:c>
      <x:c r="H40" s="196" t="n">
        <x:f>INDEX('16 P2 Workings'!$D$17:$O$17,1,MATCH(C40,'16 P2 Workings'!$D$6:$O$6,0))</x:f>
        <x:v>13</x:v>
      </x:c>
      <x:c r="I40" s="175" t="n">
        <x:f>'14 Drivers'!$D$48</x:f>
        <x:v>600</x:v>
      </x:c>
      <x:c r="J40" s="175" t="n">
        <x:f>IF(F40="Open",H40*I40,IF(F40="Large corporate",('14 Drivers'!$D$22+ROUNDUP(MAX(0,H40-'14 Drivers'!$D$24)/'14 Drivers'!$D$25,0)*'14 Drivers'!$D$23)*G40,'14 Drivers'!$D$22*G40))</x:f>
        <x:v>7800</x:v>
      </x:c>
      <x:c r="K40" s="175" t="n">
        <x:f>-G40*INDEX('14 Drivers'!$D$9:$O$9,1,MATCH(C40,'14 Drivers'!$D$6:$O$6,0))</x:f>
        <x:v>-1400</x:v>
      </x:c>
      <x:c r="L40" s="196" t="n">
        <x:f>IF(F40="Large corporate",MAX(0,ROUNDUP(H40/'14 Drivers'!$D$27,0)-1),0)</x:f>
        <x:v>0</x:v>
      </x:c>
      <x:c r="M40" s="175" t="n">
        <x:f>-L40*G40*INDEX('14 Drivers'!$D$9:$O$9,1,MATCH(C40,'14 Drivers'!$D$6:$O$6,0))*'14 Drivers'!$D$30</x:f>
        <x:v>0</x:v>
      </x:c>
      <x:c r="N40" s="175" t="n">
        <x:f>-IF(F40="Open",G40*'14 Drivers'!$D$32,0)</x:f>
        <x:v>-1200</x:v>
      </x:c>
      <x:c r="O40" s="174" t="n">
        <x:v>0</x:v>
      </x:c>
      <x:c r="P40" s="175" t="n">
        <x:f>-H40*G40*'14 Drivers'!$D$31</x:f>
        <x:v>-390</x:v>
      </x:c>
      <x:c r="Q40" s="175" t="n">
        <x:f>-J40*'14 Drivers'!$D$33</x:f>
        <x:v>-390</x:v>
      </x:c>
      <x:c r="R40" s="174" t="n">
        <x:f>SUM(K40,M40:Q40)</x:f>
        <x:v>-3380</x:v>
      </x:c>
      <x:c r="S40" s="174" t="n">
        <x:f>SUM(J40,R40)</x:f>
        <x:v>4420</x:v>
      </x:c>
      <x:c r="T40" s="192" t="n">
        <x:f>IF(J40=0,"n.a.",S40/J40)</x:f>
        <x:v>0.5666666666666667</x:v>
      </x:c>
      <x:c r="U40" s="179" t="n">
        <x:f>L40*G40</x:f>
        <x:v>0</x:v>
      </x:c>
      <x:c r="V40" s="196" t="n">
        <x:f>IF(L40&gt;0,MIN(G40,'14 Drivers'!$D$52),0)</x:f>
        <x:v>0</x:v>
      </x:c>
      <x:c r="W40" s="179" t="n">
        <x:f>U40-V40</x:f>
        <x:v>0</x:v>
      </x:c>
      <x:c r="X40" s="179" t="n">
        <x:f>1+L40</x:f>
        <x:v>1</x:v>
      </x:c>
      <x:c r="Y40" s="179" t="n">
        <x:f>MAX(0,L40-1)</x:f>
        <x:v>0</x:v>
      </x:c>
    </x:row>
    <x:row r="41" ht="24" customHeight="1">
      <x:c r="B41" s="164" t="str">
        <x:v>N03</x:v>
      </x:c>
      <x:c r="C41" s="164" t="str">
        <x:v>Jun</x:v>
      </x:c>
      <x:c r="D41" s="164" t="str">
        <x:v>Linda Smile</x:v>
      </x:c>
      <x:c r="E41" s="164" t="str">
        <x:v>Executive Blame Delegation</x:v>
      </x:c>
      <x:c r="F41" s="164" t="str">
        <x:v>Open</x:v>
      </x:c>
      <x:c r="G41" s="196" t="n">
        <x:f>'14 Drivers'!$D$49</x:f>
        <x:v>2</x:v>
      </x:c>
      <x:c r="H41" s="196" t="n">
        <x:f>INDEX('16 P2 Workings'!$D$17:$O$17,1,MATCH(C41,'16 P2 Workings'!$D$6:$O$6,0))</x:f>
        <x:v>13</x:v>
      </x:c>
      <x:c r="I41" s="175" t="n">
        <x:f>'14 Drivers'!$D$48</x:f>
        <x:v>600</x:v>
      </x:c>
      <x:c r="J41" s="175" t="n">
        <x:f>IF(F41="Open",H41*I41,IF(F41="Large corporate",('14 Drivers'!$D$22+ROUNDUP(MAX(0,H41-'14 Drivers'!$D$24)/'14 Drivers'!$D$25,0)*'14 Drivers'!$D$23)*G41,'14 Drivers'!$D$22*G41))</x:f>
        <x:v>7800</x:v>
      </x:c>
      <x:c r="K41" s="175" t="n">
        <x:f>-G41*INDEX('14 Drivers'!$D$9:$O$9,1,MATCH(C41,'14 Drivers'!$D$6:$O$6,0))</x:f>
        <x:v>-1400</x:v>
      </x:c>
      <x:c r="L41" s="196" t="n">
        <x:f>IF(F41="Large corporate",MAX(0,ROUNDUP(H41/'14 Drivers'!$D$27,0)-1),0)</x:f>
        <x:v>0</x:v>
      </x:c>
      <x:c r="M41" s="175" t="n">
        <x:f>-L41*G41*INDEX('14 Drivers'!$D$9:$O$9,1,MATCH(C41,'14 Drivers'!$D$6:$O$6,0))*'14 Drivers'!$D$30</x:f>
        <x:v>0</x:v>
      </x:c>
      <x:c r="N41" s="175" t="n">
        <x:f>-IF(F41="Open",G41*'14 Drivers'!$D$32,0)</x:f>
        <x:v>-1200</x:v>
      </x:c>
      <x:c r="O41" s="174" t="n">
        <x:v>0</x:v>
      </x:c>
      <x:c r="P41" s="175" t="n">
        <x:f>-H41*G41*'14 Drivers'!$D$31</x:f>
        <x:v>-390</x:v>
      </x:c>
      <x:c r="Q41" s="175" t="n">
        <x:f>-J41*'14 Drivers'!$D$33</x:f>
        <x:v>-390</x:v>
      </x:c>
      <x:c r="R41" s="174" t="n">
        <x:f>SUM(K41,M41:Q41)</x:f>
        <x:v>-3380</x:v>
      </x:c>
      <x:c r="S41" s="174" t="n">
        <x:f>SUM(J41,R41)</x:f>
        <x:v>4420</x:v>
      </x:c>
      <x:c r="T41" s="192" t="n">
        <x:f>IF(J41=0,"n.a.",S41/J41)</x:f>
        <x:v>0.5666666666666667</x:v>
      </x:c>
      <x:c r="U41" s="179" t="n">
        <x:f>L41*G41</x:f>
        <x:v>0</x:v>
      </x:c>
      <x:c r="V41" s="196" t="n">
        <x:f>IF(L41&gt;0,MIN(G41,'14 Drivers'!$D$52),0)</x:f>
        <x:v>0</x:v>
      </x:c>
      <x:c r="W41" s="179" t="n">
        <x:f>U41-V41</x:f>
        <x:v>0</x:v>
      </x:c>
      <x:c r="X41" s="179" t="n">
        <x:f>1+L41</x:f>
        <x:v>1</x:v>
      </x:c>
      <x:c r="Y41" s="179" t="n">
        <x:f>MAX(0,L41-1)</x:f>
        <x:v>0</x:v>
      </x:c>
    </x:row>
    <x:row r="42" ht="24" customHeight="1">
      <x:c r="B42" s="164" t="str">
        <x:v>N04</x:v>
      </x:c>
      <x:c r="C42" s="164" t="str">
        <x:v>Dec</x:v>
      </x:c>
      <x:c r="D42" s="164" t="str">
        <x:v>Linda Smile</x:v>
      </x:c>
      <x:c r="E42" s="164" t="str">
        <x:v>Executive Blame Delegation</x:v>
      </x:c>
      <x:c r="F42" s="164" t="str">
        <x:v>Open</x:v>
      </x:c>
      <x:c r="G42" s="196" t="n">
        <x:f>'14 Drivers'!$D$49</x:f>
        <x:v>2</x:v>
      </x:c>
      <x:c r="H42" s="196" t="n">
        <x:f>INDEX('16 P2 Workings'!$D$17:$O$17,1,MATCH(C42,'16 P2 Workings'!$D$6:$O$6,0))</x:f>
        <x:v>15</x:v>
      </x:c>
      <x:c r="I42" s="175" t="n">
        <x:f>'14 Drivers'!$D$48</x:f>
        <x:v>600</x:v>
      </x:c>
      <x:c r="J42" s="175" t="n">
        <x:f>IF(F42="Open",H42*I42,IF(F42="Large corporate",('14 Drivers'!$D$22+ROUNDUP(MAX(0,H42-'14 Drivers'!$D$24)/'14 Drivers'!$D$25,0)*'14 Drivers'!$D$23)*G42,'14 Drivers'!$D$22*G42))</x:f>
        <x:v>9000</x:v>
      </x:c>
      <x:c r="K42" s="175" t="n">
        <x:f>-G42*INDEX('14 Drivers'!$D$9:$O$9,1,MATCH(C42,'14 Drivers'!$D$6:$O$6,0))</x:f>
        <x:v>-1540.0000000000002</x:v>
      </x:c>
      <x:c r="L42" s="196" t="n">
        <x:f>IF(F42="Large corporate",MAX(0,ROUNDUP(H42/'14 Drivers'!$D$27,0)-1),0)</x:f>
        <x:v>0</x:v>
      </x:c>
      <x:c r="M42" s="175" t="n">
        <x:f>-L42*G42*INDEX('14 Drivers'!$D$9:$O$9,1,MATCH(C42,'14 Drivers'!$D$6:$O$6,0))*'14 Drivers'!$D$30</x:f>
        <x:v>0</x:v>
      </x:c>
      <x:c r="N42" s="175" t="n">
        <x:f>-IF(F42="Open",G42*'14 Drivers'!$D$32,0)</x:f>
        <x:v>-1200</x:v>
      </x:c>
      <x:c r="O42" s="174" t="n">
        <x:v>0</x:v>
      </x:c>
      <x:c r="P42" s="175" t="n">
        <x:f>-H42*G42*'14 Drivers'!$D$31</x:f>
        <x:v>-450</x:v>
      </x:c>
      <x:c r="Q42" s="175" t="n">
        <x:f>-J42*'14 Drivers'!$D$33</x:f>
        <x:v>-450</x:v>
      </x:c>
      <x:c r="R42" s="174" t="n">
        <x:f>SUM(K42,M42:Q42)</x:f>
        <x:v>-3640</x:v>
      </x:c>
      <x:c r="S42" s="174" t="n">
        <x:f>SUM(J42,R42)</x:f>
        <x:v>5360</x:v>
      </x:c>
      <x:c r="T42" s="192" t="n">
        <x:f>IF(J42=0,"n.a.",S42/J42)</x:f>
        <x:v>0.5955555555555555</x:v>
      </x:c>
      <x:c r="U42" s="179" t="n">
        <x:f>L42*G42</x:f>
        <x:v>0</x:v>
      </x:c>
      <x:c r="V42" s="196" t="n">
        <x:f>IF(L42&gt;0,MIN(G42,'14 Drivers'!$D$52),0)</x:f>
        <x:v>0</x:v>
      </x:c>
      <x:c r="W42" s="179" t="n">
        <x:f>U42-V42</x:f>
        <x:v>0</x:v>
      </x:c>
      <x:c r="X42" s="179" t="n">
        <x:f>1+L42</x:f>
        <x:v>1</x:v>
      </x:c>
      <x:c r="Y42" s="179" t="n">
        <x:f>MAX(0,L42-1)</x:f>
        <x:v>0</x:v>
      </x:c>
    </x:row>
    <x:row r="43" ht="24" customHeight="1">
      <x:c r="B43" s="164"/>
      <x:c r="C43" s="164"/>
      <x:c r="D43" s="164"/>
      <x:c r="E43" s="164"/>
      <x:c r="F43" s="164"/>
      <x:c r="G43" s="179"/>
      <x:c r="H43" s="179"/>
      <x:c r="I43" s="174"/>
      <x:c r="J43" s="174"/>
      <x:c r="K43" s="174"/>
      <x:c r="L43" s="179"/>
      <x:c r="M43" s="174"/>
      <x:c r="N43" s="174"/>
      <x:c r="O43" s="174"/>
      <x:c r="P43" s="174"/>
      <x:c r="Q43" s="174"/>
      <x:c r="R43" s="174"/>
      <x:c r="S43" s="174"/>
      <x:c r="T43" s="192"/>
      <x:c r="U43" s="179"/>
      <x:c r="V43" s="179"/>
      <x:c r="W43" s="179"/>
      <x:c r="X43" s="179"/>
      <x:c r="Y43" s="179"/>
    </x:row>
    <x:row r="44" ht="24" customHeight="1">
      <x:c r="B44" s="180" t="str">
        <x:v>New total</x:v>
      </x:c>
      <x:c r="C44" s="180"/>
      <x:c r="D44" s="180"/>
      <x:c r="E44" s="180"/>
      <x:c r="F44" s="180"/>
      <x:c r="G44" s="208" t="n">
        <x:f>SUM(G39:G42)</x:f>
        <x:v>8</x:v>
      </x:c>
      <x:c r="H44" s="208" t="n">
        <x:f>SUM(H39:H42)</x:f>
        <x:v>55</x:v>
      </x:c>
      <x:c r="I44" s="182"/>
      <x:c r="J44" s="182" t="n">
        <x:f>SUM(J39:J42)</x:f>
        <x:v>33000</x:v>
      </x:c>
      <x:c r="K44" s="182" t="n">
        <x:f>SUM(K39:K42)</x:f>
        <x:v>-5740</x:v>
      </x:c>
      <x:c r="L44" s="208"/>
      <x:c r="M44" s="182" t="n">
        <x:f>SUM(M39:M42)</x:f>
        <x:v>0</x:v>
      </x:c>
      <x:c r="N44" s="182" t="n">
        <x:f>SUM(N39:N42)</x:f>
        <x:v>-4800</x:v>
      </x:c>
      <x:c r="O44" s="182" t="n">
        <x:f>SUM(O39:O42)</x:f>
        <x:v>0</x:v>
      </x:c>
      <x:c r="P44" s="182" t="n">
        <x:f>SUM(P39:P42)</x:f>
        <x:v>-1650</x:v>
      </x:c>
      <x:c r="Q44" s="182" t="n">
        <x:f>SUM(Q39:Q42)</x:f>
        <x:v>-1650</x:v>
      </x:c>
      <x:c r="R44" s="182" t="n">
        <x:f>SUM(R39:R42)</x:f>
        <x:v>-13840</x:v>
      </x:c>
      <x:c r="S44" s="182" t="n">
        <x:f>SUM(S39:S42)</x:f>
        <x:v>19160</x:v>
      </x:c>
      <x:c r="T44" s="206" t="n">
        <x:f>S44/J44</x:f>
        <x:v>0.5806060606060606</x:v>
      </x:c>
      <x:c r="U44" s="208" t="n">
        <x:f>SUM(U39:U42)</x:f>
        <x:v>0</x:v>
      </x:c>
      <x:c r="V44" s="208" t="n">
        <x:f>SUM(V39:V42)</x:f>
        <x:v>0</x:v>
      </x:c>
      <x:c r="W44" s="208" t="n">
        <x:f>SUM(W39:W42)</x:f>
        <x:v>0</x:v>
      </x:c>
      <x:c r="X44" s="208"/>
      <x:c r="Y44" s="208"/>
    </x:row>
    <x:row r="45" ht="24" customHeight="1">
      <x:c r="B45" s="164"/>
      <x:c r="C45" s="164"/>
      <x:c r="D45" s="164"/>
      <x:c r="E45" s="164"/>
      <x:c r="F45" s="164"/>
      <x:c r="G45" s="164"/>
      <x:c r="H45" s="164"/>
      <x:c r="I45" s="164"/>
      <x:c r="J45" s="164"/>
      <x:c r="K45" s="164"/>
      <x:c r="L45" s="164"/>
      <x:c r="M45" s="164"/>
      <x:c r="N45" s="164"/>
      <x:c r="O45" s="164"/>
      <x:c r="P45" s="164"/>
      <x:c r="Q45" s="164"/>
      <x:c r="R45" s="164"/>
      <x:c r="S45" s="164"/>
      <x:c r="T45" s="164"/>
      <x:c r="U45" s="164"/>
      <x:c r="V45" s="164"/>
      <x:c r="W45" s="164"/>
      <x:c r="X45" s="164"/>
      <x:c r="Y45" s="164"/>
    </x:row>
    <x:row r="46" ht="24" customHeight="1">
      <x:c r="B46" s="164" t="str">
        <x:v>Assistant fees already included. September requires 3 assistants for 2 days: one regular person and 2 additional people (4 extra person-days).</x:v>
      </x:c>
      <x:c r="C46" s="164"/>
      <x:c r="D46" s="164"/>
      <x:c r="E46" s="164"/>
      <x:c r="F46" s="164"/>
      <x:c r="G46" s="164"/>
      <x:c r="H46" s="164"/>
      <x:c r="I46" s="164"/>
      <x:c r="J46" s="164"/>
      <x:c r="K46" s="164"/>
      <x:c r="L46" s="164"/>
      <x:c r="M46" s="164"/>
      <x:c r="N46" s="164"/>
      <x:c r="O46" s="164"/>
      <x:c r="P46" s="164"/>
      <x:c r="Q46" s="164"/>
      <x:c r="R46" s="164"/>
      <x:c r="S46" s="164"/>
      <x:c r="T46" s="164"/>
      <x:c r="U46" s="164"/>
      <x:c r="V46" s="164"/>
      <x:c r="W46" s="164"/>
      <x:c r="X46" s="164"/>
      <x:c r="Y46" s="164"/>
    </x:row>
    <x:row r="47" ht="24" customHeight="1">
      <x:c r="B47" s="164" t="str">
        <x:v>New dates require paid demand, competence, venue and trainer confirmations. Internal cost savings are applied once in Part 2 workings, not again per event.</x:v>
      </x:c>
      <x:c r="C47" s="164"/>
      <x:c r="D47" s="164"/>
      <x:c r="E47" s="164"/>
      <x:c r="F47" s="164"/>
      <x:c r="G47" s="164"/>
      <x:c r="H47" s="164"/>
      <x:c r="I47" s="164"/>
      <x:c r="J47" s="164"/>
      <x:c r="K47" s="164"/>
      <x:c r="L47" s="164"/>
      <x:c r="M47" s="164"/>
      <x:c r="N47" s="164"/>
      <x:c r="O47" s="164"/>
      <x:c r="P47" s="164"/>
      <x:c r="Q47" s="164"/>
      <x:c r="R47" s="164"/>
      <x:c r="S47" s="164"/>
      <x:c r="T47" s="164"/>
      <x:c r="U47" s="164"/>
      <x:c r="V47" s="164"/>
      <x:c r="W47" s="164"/>
      <x:c r="X47" s="164"/>
      <x:c r="Y47" s="164"/>
    </x:row>
  </x:sheetData>
  <x:pageMargins left="0.7" right="0.7" top="0.75" bottom="0.75" header="0.3" footer="0.3"/>
</x:worksheet>
</file>

<file path=xl/worksheets/sheet19.xml><?xml version="1.0" encoding="utf-8"?>
<x:worksheet xmlns:x="http://schemas.openxmlformats.org/spreadsheetml/2006/main">
  <x:sheetPr>
    <x:tabColor rgb="FF183E4C"/>
  </x:sheetPr>
  <x:sheetViews>
    <x:sheetView showGridLines="0" workbookViewId="0">
      <x:pane xSplit="3" ySplit="6" topLeftCell="D7" activePane="bottomRight" state="frozen"/>
    </x:sheetView>
  </x:sheetViews>
  <x:sheetFormatPr defaultRowHeight="15"/>
  <x:cols>
    <x:col min="2" max="2" width="38" hidden="0" customWidth="1"/>
    <x:col min="3" max="3" width="5"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5" hidden="0" customWidth="1"/>
    <x:col min="17" max="17" width="3" hidden="0" customWidth="1"/>
    <x:col min="18" max="18" width="74" hidden="0" customWidth="1"/>
  </x:cols>
  <x:sheetData>
    <x:row r="2">
      <x:c r="B2" s="166" t="str">
        <x:v>Forecast review and execution requirements</x:v>
      </x:c>
      <x:c r="C2" s="167"/>
      <x:c r="D2" s="167"/>
      <x:c r="E2" s="167"/>
      <x:c r="F2" s="167"/>
      <x:c r="G2" s="167"/>
      <x:c r="H2" s="167"/>
      <x:c r="I2" s="167"/>
      <x:c r="J2" s="167"/>
      <x:c r="K2" s="167"/>
      <x:c r="L2" s="167"/>
      <x:c r="M2" s="167"/>
      <x:c r="N2" s="167"/>
      <x:c r="O2" s="167"/>
      <x:c r="P2" s="167"/>
      <x:c r="Q2" s="164"/>
      <x:c r="R2" s="164"/>
    </x:row>
    <x:row r="3">
      <x:c r="B3" s="168" t="str">
        <x:v>2026 monthly budget. EUR excluding VAT. Costs are negative.</x:v>
      </x:c>
      <x:c r="C3" s="164"/>
      <x:c r="D3" s="164"/>
      <x:c r="E3" s="164"/>
      <x:c r="F3" s="164"/>
      <x:c r="G3" s="164"/>
      <x:c r="H3" s="164"/>
      <x:c r="I3" s="164"/>
      <x:c r="J3" s="164"/>
      <x:c r="K3" s="164"/>
      <x:c r="L3" s="164"/>
      <x:c r="M3" s="164"/>
      <x:c r="N3" s="164"/>
      <x:c r="O3" s="164"/>
      <x:c r="P3" s="164"/>
      <x:c r="Q3" s="164"/>
      <x:c r="R3" s="164"/>
    </x:row>
    <x:row r="4">
      <x:c r="B4" s="164"/>
      <x:c r="C4" s="164"/>
      <x:c r="D4" s="164"/>
      <x:c r="E4" s="164"/>
      <x:c r="F4" s="164"/>
      <x:c r="G4" s="164"/>
      <x:c r="H4" s="164"/>
      <x:c r="I4" s="164"/>
      <x:c r="J4" s="164"/>
      <x:c r="K4" s="164"/>
      <x:c r="L4" s="164"/>
      <x:c r="M4" s="164"/>
      <x:c r="N4" s="164"/>
      <x:c r="O4" s="164"/>
      <x:c r="P4" s="164"/>
      <x:c r="Q4" s="164"/>
      <x:c r="R4" s="164"/>
    </x:row>
    <x:row r="5">
      <x:c r="B5" s="164"/>
      <x:c r="C5" s="164"/>
      <x:c r="D5" s="173" t="d">
        <x:v>2026-01-01T00:00:00.000Z</x:v>
      </x:c>
      <x:c r="E5" s="173" t="d">
        <x:v>2026-02-01T00:00:00.000Z</x:v>
      </x:c>
      <x:c r="F5" s="173" t="d">
        <x:v>2026-03-01T00:00:00.000Z</x:v>
      </x:c>
      <x:c r="G5" s="173" t="d">
        <x:v>2026-04-01T00:00:00.000Z</x:v>
      </x:c>
      <x:c r="H5" s="173" t="d">
        <x:v>2026-05-01T00:00:00.000Z</x:v>
      </x:c>
      <x:c r="I5" s="173" t="d">
        <x:v>2026-06-01T00:00:00.000Z</x:v>
      </x:c>
      <x:c r="J5" s="173" t="d">
        <x:v>2026-07-01T00:00:00.000Z</x:v>
      </x:c>
      <x:c r="K5" s="173" t="d">
        <x:v>2026-08-01T00:00:00.000Z</x:v>
      </x:c>
      <x:c r="L5" s="173" t="d">
        <x:v>2026-09-01T00:00:00.000Z</x:v>
      </x:c>
      <x:c r="M5" s="173" t="d">
        <x:v>2026-10-01T00:00:00.000Z</x:v>
      </x:c>
      <x:c r="N5" s="173" t="d">
        <x:v>2026-11-01T00:00:00.000Z</x:v>
      </x:c>
      <x:c r="O5" s="173" t="d">
        <x:v>2026-12-01T00:00:00.000Z</x:v>
      </x:c>
      <x:c r="P5" s="164"/>
      <x:c r="Q5" s="164"/>
      <x:c r="R5" s="164"/>
    </x:row>
    <x:row r="6" ht="28" customHeight="1">
      <x:c r="B6" s="171"/>
      <x:c r="C6" s="171"/>
      <x:c r="D6" s="171" t="str">
        <x:v>Jan</x:v>
      </x:c>
      <x:c r="E6" s="171" t="str">
        <x:v>Feb</x:v>
      </x:c>
      <x:c r="F6" s="171" t="str">
        <x:v>Mar</x:v>
      </x:c>
      <x:c r="G6" s="171" t="str">
        <x:v>Apr</x:v>
      </x:c>
      <x:c r="H6" s="171" t="str">
        <x:v>May</x:v>
      </x:c>
      <x:c r="I6" s="171" t="str">
        <x:v>Jun</x:v>
      </x:c>
      <x:c r="J6" s="171" t="str">
        <x:v>Jul</x:v>
      </x:c>
      <x:c r="K6" s="171" t="str">
        <x:v>Aug</x:v>
      </x:c>
      <x:c r="L6" s="171" t="str">
        <x:v>Sep</x:v>
      </x:c>
      <x:c r="M6" s="171" t="str">
        <x:v>Oct</x:v>
      </x:c>
      <x:c r="N6" s="171" t="str">
        <x:v>Nov</x:v>
      </x:c>
      <x:c r="O6" s="171" t="str">
        <x:v>Dec</x:v>
      </x:c>
      <x:c r="P6" s="171" t="str">
        <x:v>FY Total</x:v>
      </x:c>
      <x:c r="Q6" s="164"/>
      <x:c r="R6" s="164"/>
    </x:row>
    <x:row r="7" ht="22" customHeight="1">
      <x:c r="B7" s="164" t="str">
        <x:v>Part 1 revenue reconciliation</x:v>
      </x:c>
      <x:c r="C7" s="164"/>
      <x:c r="D7" s="284" t="n">
        <x:f>ROUND('10 Corrected Budget'!D7-SUM('15 P1 Workings'!D19,'15 P1 Workings'!D36),6)</x:f>
        <x:v>0</x:v>
      </x:c>
      <x:c r="E7" s="284" t="n">
        <x:f>ROUND('10 Corrected Budget'!E7-SUM('15 P1 Workings'!E19,'15 P1 Workings'!E36),6)</x:f>
        <x:v>0</x:v>
      </x:c>
      <x:c r="F7" s="284" t="n">
        <x:f>ROUND('10 Corrected Budget'!F7-SUM('15 P1 Workings'!F19,'15 P1 Workings'!F36),6)</x:f>
        <x:v>0</x:v>
      </x:c>
      <x:c r="G7" s="284" t="n">
        <x:f>ROUND('10 Corrected Budget'!G7-SUM('15 P1 Workings'!G19,'15 P1 Workings'!G36),6)</x:f>
        <x:v>0</x:v>
      </x:c>
      <x:c r="H7" s="284" t="n">
        <x:f>ROUND('10 Corrected Budget'!H7-SUM('15 P1 Workings'!H19,'15 P1 Workings'!H36),6)</x:f>
        <x:v>0</x:v>
      </x:c>
      <x:c r="I7" s="284" t="n">
        <x:f>ROUND('10 Corrected Budget'!I7-SUM('15 P1 Workings'!I19,'15 P1 Workings'!I36),6)</x:f>
        <x:v>0</x:v>
      </x:c>
      <x:c r="J7" s="284" t="n">
        <x:f>ROUND('10 Corrected Budget'!J7-SUM('15 P1 Workings'!J19,'15 P1 Workings'!J36),6)</x:f>
        <x:v>0</x:v>
      </x:c>
      <x:c r="K7" s="284" t="n">
        <x:f>ROUND('10 Corrected Budget'!K7-SUM('15 P1 Workings'!K19,'15 P1 Workings'!K36),6)</x:f>
        <x:v>0</x:v>
      </x:c>
      <x:c r="L7" s="284" t="n">
        <x:f>ROUND('10 Corrected Budget'!L7-SUM('15 P1 Workings'!L19,'15 P1 Workings'!L36),6)</x:f>
        <x:v>0</x:v>
      </x:c>
      <x:c r="M7" s="284" t="n">
        <x:f>ROUND('10 Corrected Budget'!M7-SUM('15 P1 Workings'!M19,'15 P1 Workings'!M36),6)</x:f>
        <x:v>0</x:v>
      </x:c>
      <x:c r="N7" s="284" t="n">
        <x:f>ROUND('10 Corrected Budget'!N7-SUM('15 P1 Workings'!N19,'15 P1 Workings'!N36),6)</x:f>
        <x:v>0</x:v>
      </x:c>
      <x:c r="O7" s="284" t="n">
        <x:f>ROUND('10 Corrected Budget'!O7-SUM('15 P1 Workings'!O19,'15 P1 Workings'!O36),6)</x:f>
        <x:v>0</x:v>
      </x:c>
      <x:c r="P7" s="284" t="n">
        <x:f>SUM(D7:O7)</x:f>
        <x:v>0</x:v>
      </x:c>
      <x:c r="Q7" s="164"/>
      <x:c r="R7" s="164"/>
    </x:row>
    <x:row r="8" ht="22" customHeight="1">
      <x:c r="B8" s="164" t="str">
        <x:v>Part 1 direct-cost reconciliation</x:v>
      </x:c>
      <x:c r="C8" s="164"/>
      <x:c r="D8" s="284" t="n">
        <x:f>ROUND('10 Corrected Budget'!D8-SUM('15 P1 Workings'!D38,'15 P1 Workings'!D28),6)</x:f>
        <x:v>0</x:v>
      </x:c>
      <x:c r="E8" s="284" t="n">
        <x:f>ROUND('10 Corrected Budget'!E8-SUM('15 P1 Workings'!E38,'15 P1 Workings'!E28),6)</x:f>
        <x:v>0</x:v>
      </x:c>
      <x:c r="F8" s="284" t="n">
        <x:f>ROUND('10 Corrected Budget'!F8-SUM('15 P1 Workings'!F38,'15 P1 Workings'!F28),6)</x:f>
        <x:v>0</x:v>
      </x:c>
      <x:c r="G8" s="284" t="n">
        <x:f>ROUND('10 Corrected Budget'!G8-SUM('15 P1 Workings'!G38,'15 P1 Workings'!G28),6)</x:f>
        <x:v>0</x:v>
      </x:c>
      <x:c r="H8" s="284" t="n">
        <x:f>ROUND('10 Corrected Budget'!H8-SUM('15 P1 Workings'!H38,'15 P1 Workings'!H28),6)</x:f>
        <x:v>0</x:v>
      </x:c>
      <x:c r="I8" s="284" t="n">
        <x:f>ROUND('10 Corrected Budget'!I8-SUM('15 P1 Workings'!I38,'15 P1 Workings'!I28),6)</x:f>
        <x:v>0</x:v>
      </x:c>
      <x:c r="J8" s="284" t="n">
        <x:f>ROUND('10 Corrected Budget'!J8-SUM('15 P1 Workings'!J38,'15 P1 Workings'!J28),6)</x:f>
        <x:v>0</x:v>
      </x:c>
      <x:c r="K8" s="284" t="n">
        <x:f>ROUND('10 Corrected Budget'!K8-SUM('15 P1 Workings'!K38,'15 P1 Workings'!K28),6)</x:f>
        <x:v>0</x:v>
      </x:c>
      <x:c r="L8" s="284" t="n">
        <x:f>ROUND('10 Corrected Budget'!L8-SUM('15 P1 Workings'!L38,'15 P1 Workings'!L28),6)</x:f>
        <x:v>0</x:v>
      </x:c>
      <x:c r="M8" s="284" t="n">
        <x:f>ROUND('10 Corrected Budget'!M8-SUM('15 P1 Workings'!M38,'15 P1 Workings'!M28),6)</x:f>
        <x:v>0</x:v>
      </x:c>
      <x:c r="N8" s="284" t="n">
        <x:f>ROUND('10 Corrected Budget'!N8-SUM('15 P1 Workings'!N38,'15 P1 Workings'!N28),6)</x:f>
        <x:v>0</x:v>
      </x:c>
      <x:c r="O8" s="284" t="n">
        <x:f>ROUND('10 Corrected Budget'!O8-SUM('15 P1 Workings'!O38,'15 P1 Workings'!O28),6)</x:f>
        <x:v>0</x:v>
      </x:c>
      <x:c r="P8" s="284" t="n">
        <x:f>SUM(D8:O8)</x:f>
        <x:v>0</x:v>
      </x:c>
      <x:c r="Q8" s="164"/>
      <x:c r="R8" s="164"/>
    </x:row>
    <x:row r="9" ht="22" customHeight="1">
      <x:c r="B9" s="164" t="str">
        <x:v>Corporate calendar counted once</x:v>
      </x:c>
      <x:c r="C9" s="164"/>
      <x:c r="D9" s="284" t="n">
        <x:f>ROUND('15 P1 Workings'!D19-SUM('15 P1 Workings'!D20,'15 P1 Workings'!D21),6)</x:f>
        <x:v>0</x:v>
      </x:c>
      <x:c r="E9" s="284" t="n">
        <x:f>ROUND('15 P1 Workings'!E19-SUM('15 P1 Workings'!E20,'15 P1 Workings'!E21),6)</x:f>
        <x:v>0</x:v>
      </x:c>
      <x:c r="F9" s="284" t="n">
        <x:f>ROUND('15 P1 Workings'!F19-SUM('15 P1 Workings'!F20,'15 P1 Workings'!F21),6)</x:f>
        <x:v>0</x:v>
      </x:c>
      <x:c r="G9" s="284" t="n">
        <x:f>ROUND('15 P1 Workings'!G19-SUM('15 P1 Workings'!G20,'15 P1 Workings'!G21),6)</x:f>
        <x:v>0</x:v>
      </x:c>
      <x:c r="H9" s="284" t="n">
        <x:f>ROUND('15 P1 Workings'!H19-SUM('15 P1 Workings'!H20,'15 P1 Workings'!H21),6)</x:f>
        <x:v>0</x:v>
      </x:c>
      <x:c r="I9" s="284" t="n">
        <x:f>ROUND('15 P1 Workings'!I19-SUM('15 P1 Workings'!I20,'15 P1 Workings'!I21),6)</x:f>
        <x:v>0</x:v>
      </x:c>
      <x:c r="J9" s="284" t="n">
        <x:f>ROUND('15 P1 Workings'!J19-SUM('15 P1 Workings'!J20,'15 P1 Workings'!J21),6)</x:f>
        <x:v>0</x:v>
      </x:c>
      <x:c r="K9" s="284" t="n">
        <x:f>ROUND('15 P1 Workings'!K19-SUM('15 P1 Workings'!K20,'15 P1 Workings'!K21),6)</x:f>
        <x:v>0</x:v>
      </x:c>
      <x:c r="L9" s="284" t="n">
        <x:f>ROUND('15 P1 Workings'!L19-SUM('15 P1 Workings'!L20,'15 P1 Workings'!L21),6)</x:f>
        <x:v>0</x:v>
      </x:c>
      <x:c r="M9" s="284" t="n">
        <x:f>ROUND('15 P1 Workings'!M19-SUM('15 P1 Workings'!M20,'15 P1 Workings'!M21),6)</x:f>
        <x:v>0</x:v>
      </x:c>
      <x:c r="N9" s="284" t="n">
        <x:f>ROUND('15 P1 Workings'!N19-SUM('15 P1 Workings'!N20,'15 P1 Workings'!N21),6)</x:f>
        <x:v>0</x:v>
      </x:c>
      <x:c r="O9" s="284" t="n">
        <x:f>ROUND('15 P1 Workings'!O19-SUM('15 P1 Workings'!O20,'15 P1 Workings'!O21),6)</x:f>
        <x:v>0</x:v>
      </x:c>
      <x:c r="P9" s="284" t="n">
        <x:f>SUM(D9:O9)</x:f>
        <x:v>0</x:v>
      </x:c>
      <x:c r="Q9" s="164"/>
      <x:c r="R9" s="164"/>
    </x:row>
    <x:row r="10" ht="22" customHeight="1">
      <x:c r="B10" s="164" t="str">
        <x:v>Part 2 revenue reconciliation</x:v>
      </x:c>
      <x:c r="C10" s="164"/>
      <x:c r="D10" s="284" t="n">
        <x:f>ROUND('12 Management Budget'!D7-SUM('10 Corrected Budget'!D7,'16 P2 Workings'!D9,'16 P2 Workings'!D18),6)</x:f>
        <x:v>0</x:v>
      </x:c>
      <x:c r="E10" s="284" t="n">
        <x:f>ROUND('12 Management Budget'!E7-SUM('10 Corrected Budget'!E7,'16 P2 Workings'!E9,'16 P2 Workings'!E18),6)</x:f>
        <x:v>0</x:v>
      </x:c>
      <x:c r="F10" s="284" t="n">
        <x:f>ROUND('12 Management Budget'!F7-SUM('10 Corrected Budget'!F7,'16 P2 Workings'!F9,'16 P2 Workings'!F18),6)</x:f>
        <x:v>0</x:v>
      </x:c>
      <x:c r="G10" s="284" t="n">
        <x:f>ROUND('12 Management Budget'!G7-SUM('10 Corrected Budget'!G7,'16 P2 Workings'!G9,'16 P2 Workings'!G18),6)</x:f>
        <x:v>0</x:v>
      </x:c>
      <x:c r="H10" s="284" t="n">
        <x:f>ROUND('12 Management Budget'!H7-SUM('10 Corrected Budget'!H7,'16 P2 Workings'!H9,'16 P2 Workings'!H18),6)</x:f>
        <x:v>0</x:v>
      </x:c>
      <x:c r="I10" s="284" t="n">
        <x:f>ROUND('12 Management Budget'!I7-SUM('10 Corrected Budget'!I7,'16 P2 Workings'!I9,'16 P2 Workings'!I18),6)</x:f>
        <x:v>0</x:v>
      </x:c>
      <x:c r="J10" s="284" t="n">
        <x:f>ROUND('12 Management Budget'!J7-SUM('10 Corrected Budget'!J7,'16 P2 Workings'!J9,'16 P2 Workings'!J18),6)</x:f>
        <x:v>0</x:v>
      </x:c>
      <x:c r="K10" s="284" t="n">
        <x:f>ROUND('12 Management Budget'!K7-SUM('10 Corrected Budget'!K7,'16 P2 Workings'!K9,'16 P2 Workings'!K18),6)</x:f>
        <x:v>0</x:v>
      </x:c>
      <x:c r="L10" s="284" t="n">
        <x:f>ROUND('12 Management Budget'!L7-SUM('10 Corrected Budget'!L7,'16 P2 Workings'!L9,'16 P2 Workings'!L18),6)</x:f>
        <x:v>0</x:v>
      </x:c>
      <x:c r="M10" s="284" t="n">
        <x:f>ROUND('12 Management Budget'!M7-SUM('10 Corrected Budget'!M7,'16 P2 Workings'!M9,'16 P2 Workings'!M18),6)</x:f>
        <x:v>0</x:v>
      </x:c>
      <x:c r="N10" s="284" t="n">
        <x:f>ROUND('12 Management Budget'!N7-SUM('10 Corrected Budget'!N7,'16 P2 Workings'!N9,'16 P2 Workings'!N18),6)</x:f>
        <x:v>0</x:v>
      </x:c>
      <x:c r="O10" s="284" t="n">
        <x:f>ROUND('12 Management Budget'!O7-SUM('10 Corrected Budget'!O7,'16 P2 Workings'!O9,'16 P2 Workings'!O18),6)</x:f>
        <x:v>0</x:v>
      </x:c>
      <x:c r="P10" s="284" t="n">
        <x:f>SUM(D10:O10)</x:f>
        <x:v>0</x:v>
      </x:c>
      <x:c r="Q10" s="164"/>
      <x:c r="R10" s="164"/>
    </x:row>
    <x:row r="11" ht="22" customHeight="1">
      <x:c r="B11" s="164" t="str">
        <x:v>Part 2 profit-effect reconciliation</x:v>
      </x:c>
      <x:c r="C11" s="164"/>
      <x:c r="D11" s="284" t="n">
        <x:f>ROUND('12 Management Budget'!D12-'10 Corrected Budget'!D12-SUM('16 P2 Workings'!D15,'16 P2 Workings'!D26,'16 P2 Workings'!D38),6)</x:f>
        <x:v>0</x:v>
      </x:c>
      <x:c r="E11" s="284" t="n">
        <x:f>ROUND('12 Management Budget'!E12-'10 Corrected Budget'!E12-SUM('16 P2 Workings'!E15,'16 P2 Workings'!E26,'16 P2 Workings'!E38),6)</x:f>
        <x:v>0</x:v>
      </x:c>
      <x:c r="F11" s="284" t="n">
        <x:f>ROUND('12 Management Budget'!F12-'10 Corrected Budget'!F12-SUM('16 P2 Workings'!F15,'16 P2 Workings'!F26,'16 P2 Workings'!F38),6)</x:f>
        <x:v>0</x:v>
      </x:c>
      <x:c r="G11" s="284" t="n">
        <x:f>ROUND('12 Management Budget'!G12-'10 Corrected Budget'!G12-SUM('16 P2 Workings'!G15,'16 P2 Workings'!G26,'16 P2 Workings'!G38),6)</x:f>
        <x:v>0</x:v>
      </x:c>
      <x:c r="H11" s="284" t="n">
        <x:f>ROUND('12 Management Budget'!H12-'10 Corrected Budget'!H12-SUM('16 P2 Workings'!H15,'16 P2 Workings'!H26,'16 P2 Workings'!H38),6)</x:f>
        <x:v>0</x:v>
      </x:c>
      <x:c r="I11" s="284" t="n">
        <x:f>ROUND('12 Management Budget'!I12-'10 Corrected Budget'!I12-SUM('16 P2 Workings'!I15,'16 P2 Workings'!I26,'16 P2 Workings'!I38),6)</x:f>
        <x:v>0</x:v>
      </x:c>
      <x:c r="J11" s="284" t="n">
        <x:f>ROUND('12 Management Budget'!J12-'10 Corrected Budget'!J12-SUM('16 P2 Workings'!J15,'16 P2 Workings'!J26,'16 P2 Workings'!J38),6)</x:f>
        <x:v>0</x:v>
      </x:c>
      <x:c r="K11" s="284" t="n">
        <x:f>ROUND('12 Management Budget'!K12-'10 Corrected Budget'!K12-SUM('16 P2 Workings'!K15,'16 P2 Workings'!K26,'16 P2 Workings'!K38),6)</x:f>
        <x:v>0</x:v>
      </x:c>
      <x:c r="L11" s="284" t="n">
        <x:f>ROUND('12 Management Budget'!L12-'10 Corrected Budget'!L12-SUM('16 P2 Workings'!L15,'16 P2 Workings'!L26,'16 P2 Workings'!L38),6)</x:f>
        <x:v>0</x:v>
      </x:c>
      <x:c r="M11" s="284" t="n">
        <x:f>ROUND('12 Management Budget'!M12-'10 Corrected Budget'!M12-SUM('16 P2 Workings'!M15,'16 P2 Workings'!M26,'16 P2 Workings'!M38),6)</x:f>
        <x:v>0</x:v>
      </x:c>
      <x:c r="N11" s="284" t="n">
        <x:f>ROUND('12 Management Budget'!N12-'10 Corrected Budget'!N12-SUM('16 P2 Workings'!N15,'16 P2 Workings'!N26,'16 P2 Workings'!N38),6)</x:f>
        <x:v>0</x:v>
      </x:c>
      <x:c r="O11" s="284" t="n">
        <x:f>ROUND('12 Management Budget'!O12-'10 Corrected Budget'!O12-SUM('16 P2 Workings'!O15,'16 P2 Workings'!O26,'16 P2 Workings'!O38),6)</x:f>
        <x:v>0</x:v>
      </x:c>
      <x:c r="P11" s="284" t="n">
        <x:f>SUM(D11:O11)</x:f>
        <x:v>0</x:v>
      </x:c>
      <x:c r="Q11" s="164"/>
      <x:c r="R11" s="164"/>
    </x:row>
    <x:row r="12" ht="22" customHeight="1">
      <x:c r="B12" s="164" t="str">
        <x:v>Open seats exceeding expected demand</x:v>
      </x:c>
      <x:c r="C12" s="164"/>
      <x:c r="D12" s="284" t="n">
        <x:f>ROUND(MAX(0,'16 P2 Workings'!D45-'15 P1 Workings'!D32),6)</x:f>
        <x:v>0</x:v>
      </x:c>
      <x:c r="E12" s="284" t="n">
        <x:f>ROUND(MAX(0,'16 P2 Workings'!E45-'15 P1 Workings'!E32),6)</x:f>
        <x:v>0</x:v>
      </x:c>
      <x:c r="F12" s="284" t="n">
        <x:f>ROUND(MAX(0,'16 P2 Workings'!F45-'15 P1 Workings'!F32),6)</x:f>
        <x:v>0</x:v>
      </x:c>
      <x:c r="G12" s="284" t="n">
        <x:f>ROUND(MAX(0,'16 P2 Workings'!G45-'15 P1 Workings'!G32),6)</x:f>
        <x:v>0</x:v>
      </x:c>
      <x:c r="H12" s="284" t="n">
        <x:f>ROUND(MAX(0,'16 P2 Workings'!H45-'15 P1 Workings'!H32),6)</x:f>
        <x:v>0</x:v>
      </x:c>
      <x:c r="I12" s="284" t="n">
        <x:f>ROUND(MAX(0,'16 P2 Workings'!I45-'15 P1 Workings'!I32),6)</x:f>
        <x:v>0</x:v>
      </x:c>
      <x:c r="J12" s="284" t="n">
        <x:f>ROUND(MAX(0,'16 P2 Workings'!J45-'15 P1 Workings'!J32),6)</x:f>
        <x:v>0</x:v>
      </x:c>
      <x:c r="K12" s="284" t="n">
        <x:f>ROUND(MAX(0,'16 P2 Workings'!K45-'15 P1 Workings'!K32),6)</x:f>
        <x:v>0</x:v>
      </x:c>
      <x:c r="L12" s="284" t="n">
        <x:f>ROUND(MAX(0,'16 P2 Workings'!L45-'15 P1 Workings'!L32),6)</x:f>
        <x:v>0</x:v>
      </x:c>
      <x:c r="M12" s="284" t="n">
        <x:f>ROUND(MAX(0,'16 P2 Workings'!M45-'15 P1 Workings'!M32),6)</x:f>
        <x:v>0</x:v>
      </x:c>
      <x:c r="N12" s="284" t="n">
        <x:f>ROUND(MAX(0,'16 P2 Workings'!N45-'15 P1 Workings'!N32),6)</x:f>
        <x:v>0</x:v>
      </x:c>
      <x:c r="O12" s="284" t="n">
        <x:f>ROUND(MAX(0,'16 P2 Workings'!O45-'15 P1 Workings'!O32),6)</x:f>
        <x:v>0</x:v>
      </x:c>
      <x:c r="P12" s="284" t="n">
        <x:f>SUM(D12:O12)</x:f>
        <x:v>0</x:v>
      </x:c>
      <x:c r="Q12" s="164"/>
      <x:c r="R12" s="164"/>
    </x:row>
    <x:row r="13" ht="22" customHeight="1">
      <x:c r="B13" s="164" t="str">
        <x:v>Internal days exceeding availability reserve</x:v>
      </x:c>
      <x:c r="C13" s="164"/>
      <x:c r="D13" s="284" t="n">
        <x:f>ROUND(MAX(0,'16 P2 Workings'!D31-MAX(0,'16 P2 Workings'!D29-'16 P2 Workings'!D30)),6)</x:f>
        <x:v>0</x:v>
      </x:c>
      <x:c r="E13" s="284" t="n">
        <x:f>ROUND(MAX(0,'16 P2 Workings'!E31-MAX(0,'16 P2 Workings'!E29-'16 P2 Workings'!E30)),6)</x:f>
        <x:v>0</x:v>
      </x:c>
      <x:c r="F13" s="284" t="n">
        <x:f>ROUND(MAX(0,'16 P2 Workings'!F31-MAX(0,'16 P2 Workings'!F29-'16 P2 Workings'!F30)),6)</x:f>
        <x:v>0</x:v>
      </x:c>
      <x:c r="G13" s="284" t="n">
        <x:f>ROUND(MAX(0,'16 P2 Workings'!G31-MAX(0,'16 P2 Workings'!G29-'16 P2 Workings'!G30)),6)</x:f>
        <x:v>0</x:v>
      </x:c>
      <x:c r="H13" s="284" t="n">
        <x:f>ROUND(MAX(0,'16 P2 Workings'!H31-MAX(0,'16 P2 Workings'!H29-'16 P2 Workings'!H30)),6)</x:f>
        <x:v>0</x:v>
      </x:c>
      <x:c r="I13" s="284" t="n">
        <x:f>ROUND(MAX(0,'16 P2 Workings'!I31-MAX(0,'16 P2 Workings'!I29-'16 P2 Workings'!I30)),6)</x:f>
        <x:v>0</x:v>
      </x:c>
      <x:c r="J13" s="284" t="n">
        <x:f>ROUND(MAX(0,'16 P2 Workings'!J31-MAX(0,'16 P2 Workings'!J29-'16 P2 Workings'!J30)),6)</x:f>
        <x:v>0</x:v>
      </x:c>
      <x:c r="K13" s="284" t="n">
        <x:f>ROUND(MAX(0,'16 P2 Workings'!K31-MAX(0,'16 P2 Workings'!K29-'16 P2 Workings'!K30)),6)</x:f>
        <x:v>0</x:v>
      </x:c>
      <x:c r="L13" s="284" t="n">
        <x:f>ROUND(MAX(0,'16 P2 Workings'!L31-MAX(0,'16 P2 Workings'!L29-'16 P2 Workings'!L30)),6)</x:f>
        <x:v>0</x:v>
      </x:c>
      <x:c r="M13" s="284" t="n">
        <x:f>ROUND(MAX(0,'16 P2 Workings'!M31-MAX(0,'16 P2 Workings'!M29-'16 P2 Workings'!M30)),6)</x:f>
        <x:v>0</x:v>
      </x:c>
      <x:c r="N13" s="284" t="n">
        <x:f>ROUND(MAX(0,'16 P2 Workings'!N31-MAX(0,'16 P2 Workings'!N29-'16 P2 Workings'!N30)),6)</x:f>
        <x:v>0</x:v>
      </x:c>
      <x:c r="O13" s="284" t="n">
        <x:f>ROUND(MAX(0,'16 P2 Workings'!O31-MAX(0,'16 P2 Workings'!O29-'16 P2 Workings'!O30)),6)</x:f>
        <x:v>0</x:v>
      </x:c>
      <x:c r="P13" s="284" t="n">
        <x:f>SUM(D13:O13)</x:f>
        <x:v>0</x:v>
      </x:c>
      <x:c r="Q13" s="164"/>
      <x:c r="R13" s="164"/>
    </x:row>
    <x:row r="14" ht="22" customHeight="1">
      <x:c r="B14" s="164" t="str">
        <x:v>Residual revenue below zero</x:v>
      </x:c>
      <x:c r="C14" s="164"/>
      <x:c r="D14" s="284" t="n">
        <x:f>ROUND(MIN(0,'15 P1 Workings'!D21),6)</x:f>
        <x:v>0</x:v>
      </x:c>
      <x:c r="E14" s="284" t="n">
        <x:f>ROUND(MIN(0,'15 P1 Workings'!E21),6)</x:f>
        <x:v>0</x:v>
      </x:c>
      <x:c r="F14" s="284" t="n">
        <x:f>ROUND(MIN(0,'15 P1 Workings'!F21),6)</x:f>
        <x:v>0</x:v>
      </x:c>
      <x:c r="G14" s="284" t="n">
        <x:f>ROUND(MIN(0,'15 P1 Workings'!G21),6)</x:f>
        <x:v>0</x:v>
      </x:c>
      <x:c r="H14" s="284" t="n">
        <x:f>ROUND(MIN(0,'15 P1 Workings'!H21),6)</x:f>
        <x:v>0</x:v>
      </x:c>
      <x:c r="I14" s="284" t="n">
        <x:f>ROUND(MIN(0,'15 P1 Workings'!I21),6)</x:f>
        <x:v>0</x:v>
      </x:c>
      <x:c r="J14" s="284" t="n">
        <x:f>ROUND(MIN(0,'15 P1 Workings'!J21),6)</x:f>
        <x:v>0</x:v>
      </x:c>
      <x:c r="K14" s="284" t="n">
        <x:f>ROUND(MIN(0,'15 P1 Workings'!K21),6)</x:f>
        <x:v>0</x:v>
      </x:c>
      <x:c r="L14" s="284" t="n">
        <x:f>ROUND(MIN(0,'15 P1 Workings'!L21),6)</x:f>
        <x:v>0</x:v>
      </x:c>
      <x:c r="M14" s="284" t="n">
        <x:f>ROUND(MIN(0,'15 P1 Workings'!M21),6)</x:f>
        <x:v>0</x:v>
      </x:c>
      <x:c r="N14" s="284" t="n">
        <x:f>ROUND(MIN(0,'15 P1 Workings'!N21),6)</x:f>
        <x:v>0</x:v>
      </x:c>
      <x:c r="O14" s="284" t="n">
        <x:f>ROUND(MIN(0,'15 P1 Workings'!O21),6)</x:f>
        <x:v>0</x:v>
      </x:c>
      <x:c r="P14" s="284" t="n">
        <x:f>SUM(D14:O14)</x:f>
        <x:v>0</x:v>
      </x:c>
      <x:c r="Q14" s="164"/>
      <x:c r="R14" s="164"/>
    </x:row>
    <x:row r="15" ht="22" customHeight="1">
      <x:c r="B15" s="164"/>
      <x:c r="C15" s="164"/>
      <x:c r="D15" s="174"/>
      <x:c r="E15" s="174"/>
      <x:c r="F15" s="174"/>
      <x:c r="G15" s="174"/>
      <x:c r="H15" s="174"/>
      <x:c r="I15" s="174"/>
      <x:c r="J15" s="174"/>
      <x:c r="K15" s="174"/>
      <x:c r="L15" s="174"/>
      <x:c r="M15" s="174"/>
      <x:c r="N15" s="174"/>
      <x:c r="O15" s="174"/>
      <x:c r="P15" s="174"/>
      <x:c r="Q15" s="164"/>
      <x:c r="R15" s="164"/>
    </x:row>
    <x:row r="16" ht="22" customHeight="1">
      <x:c r="B16" s="164" t="str">
        <x:v>Extra assistant person-days to book</x:v>
      </x:c>
      <x:c r="C16" s="164"/>
      <x:c r="D16" s="196" t="n">
        <x:f>'15 P1 Workings'!D57</x:f>
        <x:v>0</x:v>
      </x:c>
      <x:c r="E16" s="196" t="n">
        <x:f>'15 P1 Workings'!E57</x:f>
        <x:v>0</x:v>
      </x:c>
      <x:c r="F16" s="196" t="n">
        <x:f>'15 P1 Workings'!F57</x:f>
        <x:v>0</x:v>
      </x:c>
      <x:c r="G16" s="196" t="n">
        <x:f>'15 P1 Workings'!G57</x:f>
        <x:v>1</x:v>
      </x:c>
      <x:c r="H16" s="196" t="n">
        <x:f>'15 P1 Workings'!H57</x:f>
        <x:v>0</x:v>
      </x:c>
      <x:c r="I16" s="196" t="n">
        <x:f>'15 P1 Workings'!I57</x:f>
        <x:v>2</x:v>
      </x:c>
      <x:c r="J16" s="196" t="n">
        <x:f>'15 P1 Workings'!J57</x:f>
        <x:v>0</x:v>
      </x:c>
      <x:c r="K16" s="196" t="n">
        <x:f>'15 P1 Workings'!K57</x:f>
        <x:v>0</x:v>
      </x:c>
      <x:c r="L16" s="196" t="n">
        <x:f>'15 P1 Workings'!L57</x:f>
        <x:v>4</x:v>
      </x:c>
      <x:c r="M16" s="196" t="n">
        <x:f>'15 P1 Workings'!M57</x:f>
        <x:v>0</x:v>
      </x:c>
      <x:c r="N16" s="196" t="n">
        <x:f>'15 P1 Workings'!N57</x:f>
        <x:v>2</x:v>
      </x:c>
      <x:c r="O16" s="196" t="n">
        <x:f>'15 P1 Workings'!O57</x:f>
        <x:v>0</x:v>
      </x:c>
      <x:c r="P16" s="179" t="n">
        <x:f>SUM(D16:O16)</x:f>
        <x:v>9</x:v>
      </x:c>
      <x:c r="Q16" s="164"/>
      <x:c r="R16" s="164"/>
    </x:row>
    <x:row r="17" ht="22" customHeight="1">
      <x:c r="B17" s="164" t="str">
        <x:v>Minimum whole external days to reserve</x:v>
      </x:c>
      <x:c r="C17" s="164"/>
      <x:c r="D17" s="196" t="n">
        <x:f>ROUNDUP('16 P2 Workings'!D36,0)</x:f>
        <x:v>16</x:v>
      </x:c>
      <x:c r="E17" s="196" t="n">
        <x:f>ROUNDUP('16 P2 Workings'!E36,0)</x:f>
        <x:v>16</x:v>
      </x:c>
      <x:c r="F17" s="196" t="n">
        <x:f>ROUNDUP('16 P2 Workings'!F36,0)</x:f>
        <x:v>5</x:v>
      </x:c>
      <x:c r="G17" s="196" t="n">
        <x:f>ROUNDUP('16 P2 Workings'!G36,0)</x:f>
        <x:v>6</x:v>
      </x:c>
      <x:c r="H17" s="196" t="n">
        <x:f>ROUNDUP('16 P2 Workings'!H36,0)</x:f>
        <x:v>4</x:v>
      </x:c>
      <x:c r="I17" s="196" t="n">
        <x:f>ROUNDUP('16 P2 Workings'!I36,0)</x:f>
        <x:v>0</x:v>
      </x:c>
      <x:c r="J17" s="196" t="n">
        <x:f>ROUNDUP('16 P2 Workings'!J36,0)</x:f>
        <x:v>1</x:v>
      </x:c>
      <x:c r="K17" s="196" t="n">
        <x:f>ROUNDUP('16 P2 Workings'!K36,0)</x:f>
        <x:v>6</x:v>
      </x:c>
      <x:c r="L17" s="196" t="n">
        <x:f>ROUNDUP('16 P2 Workings'!L36,0)</x:f>
        <x:v>5</x:v>
      </x:c>
      <x:c r="M17" s="196" t="n">
        <x:f>ROUNDUP('16 P2 Workings'!M36,0)</x:f>
        <x:v>10</x:v>
      </x:c>
      <x:c r="N17" s="196" t="n">
        <x:f>ROUNDUP('16 P2 Workings'!N36,0)</x:f>
        <x:v>0</x:v>
      </x:c>
      <x:c r="O17" s="196" t="n">
        <x:f>ROUNDUP('16 P2 Workings'!O36,0)</x:f>
        <x:v>4</x:v>
      </x:c>
      <x:c r="P17" s="179" t="n">
        <x:f>SUM(D17:O17)</x:f>
        <x:v>73</x:v>
      </x:c>
      <x:c r="Q17" s="164"/>
      <x:c r="R17" s="164"/>
    </x:row>
    <x:row r="18" ht="22" customHeight="1">
      <x:c r="B18" s="164" t="str">
        <x:v>Internal senior expected allocated days</x:v>
      </x:c>
      <x:c r="C18" s="164"/>
      <x:c r="D18" s="194" t="n">
        <x:f>'16 P2 Workings'!D31</x:f>
        <x:v>0</x:v>
      </x:c>
      <x:c r="E18" s="194" t="n">
        <x:f>'16 P2 Workings'!E31</x:f>
        <x:v>0</x:v>
      </x:c>
      <x:c r="F18" s="194" t="n">
        <x:f>'16 P2 Workings'!F31</x:f>
        <x:v>10</x:v>
      </x:c>
      <x:c r="G18" s="194" t="n">
        <x:f>'16 P2 Workings'!G31</x:f>
        <x:v>10</x:v>
      </x:c>
      <x:c r="H18" s="194" t="n">
        <x:f>'16 P2 Workings'!H31</x:f>
        <x:v>10</x:v>
      </x:c>
      <x:c r="I18" s="194" t="n">
        <x:f>'16 P2 Workings'!I31</x:f>
        <x:v>7.800000000000001</x:v>
      </x:c>
      <x:c r="J18" s="194" t="n">
        <x:f>'16 P2 Workings'!J31</x:f>
        <x:v>4</x:v>
      </x:c>
      <x:c r="K18" s="194" t="n">
        <x:f>'16 P2 Workings'!K31</x:f>
        <x:v>6</x:v>
      </x:c>
      <x:c r="L18" s="194" t="n">
        <x:f>'16 P2 Workings'!L31</x:f>
        <x:v>12</x:v>
      </x:c>
      <x:c r="M18" s="194" t="n">
        <x:f>'16 P2 Workings'!M31</x:f>
        <x:v>12</x:v>
      </x:c>
      <x:c r="N18" s="194" t="n">
        <x:f>'16 P2 Workings'!N31</x:f>
        <x:v>9.879999999999999</x:v>
      </x:c>
      <x:c r="O18" s="194" t="n">
        <x:f>'16 P2 Workings'!O31</x:f>
        <x:v>10</x:v>
      </x:c>
      <x:c r="P18" s="195" t="n">
        <x:f>SUM(D18:O18)</x:f>
        <x:v>91.67999999999999</x:v>
      </x:c>
      <x:c r="Q18" s="164"/>
      <x:c r="R18" s="164"/>
    </x:row>
    <x:row r="19" ht="22" customHeight="1">
      <x:c r="B19" s="164" t="str">
        <x:v>Extra assistants at largest event</x:v>
      </x:c>
      <x:c r="C19" s="164"/>
      <x:c r="D19" s="196" t="n">
        <x:f>MAX(0,'15 P1 Workings'!D58-1)</x:f>
        <x:v>0</x:v>
      </x:c>
      <x:c r="E19" s="196" t="n">
        <x:f>MAX(0,'15 P1 Workings'!E58-1)</x:f>
        <x:v>0</x:v>
      </x:c>
      <x:c r="F19" s="196" t="n">
        <x:f>MAX(0,'15 P1 Workings'!F58-1)</x:f>
        <x:v>0</x:v>
      </x:c>
      <x:c r="G19" s="196" t="n">
        <x:f>MAX(0,'15 P1 Workings'!G58-1)</x:f>
        <x:v>1</x:v>
      </x:c>
      <x:c r="H19" s="196" t="n">
        <x:f>MAX(0,'15 P1 Workings'!H58-1)</x:f>
        <x:v>0</x:v>
      </x:c>
      <x:c r="I19" s="196" t="n">
        <x:f>MAX(0,'15 P1 Workings'!I58-1)</x:f>
        <x:v>1</x:v>
      </x:c>
      <x:c r="J19" s="196" t="n">
        <x:f>MAX(0,'15 P1 Workings'!J58-1)</x:f>
        <x:v>0</x:v>
      </x:c>
      <x:c r="K19" s="196" t="n">
        <x:f>MAX(0,'15 P1 Workings'!K58-1)</x:f>
        <x:v>0</x:v>
      </x:c>
      <x:c r="L19" s="196" t="n">
        <x:f>MAX(0,'15 P1 Workings'!L58-1)</x:f>
        <x:v>2</x:v>
      </x:c>
      <x:c r="M19" s="196" t="n">
        <x:f>MAX(0,'15 P1 Workings'!M58-1)</x:f>
        <x:v>0</x:v>
      </x:c>
      <x:c r="N19" s="196" t="n">
        <x:f>MAX(0,'15 P1 Workings'!N58-1)</x:f>
        <x:v>1</x:v>
      </x:c>
      <x:c r="O19" s="196" t="n">
        <x:f>MAX(0,'15 P1 Workings'!O58-1)</x:f>
        <x:v>0</x:v>
      </x:c>
      <x:c r="P19" s="179" t="n">
        <x:f>MAX(D19:O19)</x:f>
        <x:v>2</x:v>
      </x:c>
      <x:c r="Q19" s="164"/>
      <x:c r="R19" s="164"/>
    </x:row>
    <x:row r="20" ht="22" customHeight="1">
      <x:c r="B20" s="164"/>
      <x:c r="C20" s="164"/>
      <x:c r="D20" s="174"/>
      <x:c r="E20" s="174"/>
      <x:c r="F20" s="174"/>
      <x:c r="G20" s="174"/>
      <x:c r="H20" s="174"/>
      <x:c r="I20" s="174"/>
      <x:c r="J20" s="174"/>
      <x:c r="K20" s="174"/>
      <x:c r="L20" s="174"/>
      <x:c r="M20" s="174"/>
      <x:c r="N20" s="174"/>
      <x:c r="O20" s="174"/>
      <x:c r="P20" s="174"/>
      <x:c r="Q20" s="164"/>
      <x:c r="R20" s="164"/>
    </x:row>
    <x:row r="21" ht="22" customHeight="1">
      <x:c r="B21" s="164"/>
      <x:c r="C21" s="164"/>
      <x:c r="D21" s="174"/>
      <x:c r="E21" s="174"/>
      <x:c r="F21" s="174"/>
      <x:c r="G21" s="174"/>
      <x:c r="H21" s="174"/>
      <x:c r="I21" s="174"/>
      <x:c r="J21" s="174"/>
      <x:c r="K21" s="174"/>
      <x:c r="L21" s="174"/>
      <x:c r="M21" s="174"/>
      <x:c r="N21" s="174"/>
      <x:c r="O21" s="174"/>
      <x:c r="P21" s="174"/>
      <x:c r="Q21" s="164"/>
      <x:c r="R21" s="164"/>
    </x:row>
    <x:row r="22" ht="22" customHeight="1">
      <x:c r="B22" s="183" t="str">
        <x:v>Profit if internal substitution unavailable</x:v>
      </x:c>
      <x:c r="C22" s="183"/>
      <x:c r="D22" s="187" t="n">
        <x:f>'12 Management Budget'!D12-'16 P2 Workings'!D35</x:f>
        <x:v>-7355</x:v>
      </x:c>
      <x:c r="E22" s="187" t="n">
        <x:f>'12 Management Budget'!E12-'16 P2 Workings'!E35</x:f>
        <x:v>-1105.9375</x:v>
      </x:c>
      <x:c r="F22" s="187" t="n">
        <x:f>'12 Management Budget'!F12-'16 P2 Workings'!F35</x:f>
        <x:v>-4387.8125</x:v>
      </x:c>
      <x:c r="G22" s="187" t="n">
        <x:f>'12 Management Budget'!G12-'16 P2 Workings'!G35</x:f>
        <x:v>883.71875</x:v>
      </x:c>
      <x:c r="H22" s="187" t="n">
        <x:f>'12 Management Budget'!H12-'16 P2 Workings'!H35</x:f>
        <x:v>-6621.354166666668</x:v>
      </x:c>
      <x:c r="I22" s="187" t="n">
        <x:f>'12 Management Budget'!I12-'16 P2 Workings'!I35</x:f>
        <x:v>-8390.729166666668</x:v>
      </x:c>
      <x:c r="J22" s="187" t="n">
        <x:f>'12 Management Budget'!J12-'16 P2 Workings'!J35</x:f>
        <x:v>-16544.572916666668</x:v>
      </x:c>
      <x:c r="K22" s="187" t="n">
        <x:f>'12 Management Budget'!K12-'16 P2 Workings'!K35</x:f>
        <x:v>-11526.979166666668</x:v>
      </x:c>
      <x:c r="L22" s="187" t="n">
        <x:f>'12 Management Budget'!L12-'16 P2 Workings'!L35</x:f>
        <x:v>-2642.6041666666697</x:v>
      </x:c>
      <x:c r="M22" s="187" t="n">
        <x:f>'12 Management Budget'!M12-'16 P2 Workings'!M35</x:f>
        <x:v>849.2145833333288</x:v>
      </x:c>
      <x:c r="N22" s="187" t="n">
        <x:f>'12 Management Budget'!N12-'16 P2 Workings'!N35</x:f>
        <x:v>-8844.391666666668</x:v>
      </x:c>
      <x:c r="O22" s="187" t="n">
        <x:f>'12 Management Budget'!O12-'16 P2 Workings'!O35</x:f>
        <x:v>-4816.979166666669</x:v>
      </x:c>
      <x:c r="P22" s="185" t="n">
        <x:f>SUM(D22:O22)</x:f>
        <x:v>-70503.42708333336</x:v>
      </x:c>
      <x:c r="Q22" s="164"/>
      <x:c r="R22" s="164"/>
    </x:row>
    <x:row r="23" ht="22" customHeight="1">
      <x:c r="B23" s="164" t="str">
        <x:v>Profit if additional senior salary required</x:v>
      </x:c>
      <x:c r="C23" s="164"/>
      <x:c r="D23" s="175" t="n">
        <x:f>'12 Management Budget'!D12-IF(MONTH(D5)&gt;=3,'07 Draft Operating Costs'!D8*(1+'14 Drivers'!$D$35),0)</x:f>
        <x:v>-7355</x:v>
      </x:c>
      <x:c r="E23" s="175" t="n">
        <x:f>'12 Management Budget'!E12-IF(MONTH(E5)&gt;=3,'07 Draft Operating Costs'!E8*(1+'14 Drivers'!$D$35),0)</x:f>
        <x:v>-1105.9375</x:v>
      </x:c>
      <x:c r="F23" s="175" t="n">
        <x:f>'12 Management Budget'!F12-IF(MONTH(F5)&gt;=3,'07 Draft Operating Costs'!F8*(1+'14 Drivers'!$D$35),0)</x:f>
        <x:v>-2387.8125</x:v>
      </x:c>
      <x:c r="G23" s="175" t="n">
        <x:f>'12 Management Budget'!G12-IF(MONTH(G5)&gt;=3,'07 Draft Operating Costs'!G8*(1+'14 Drivers'!$D$35),0)</x:f>
        <x:v>2883.71875</x:v>
      </x:c>
      <x:c r="H23" s="175" t="n">
        <x:f>'12 Management Budget'!H12-IF(MONTH(H5)&gt;=3,'07 Draft Operating Costs'!H8*(1+'14 Drivers'!$D$35),0)</x:f>
        <x:v>-4621.354166666668</x:v>
      </x:c>
      <x:c r="I23" s="175" t="n">
        <x:f>'12 Management Budget'!I12-IF(MONTH(I5)&gt;=3,'07 Draft Operating Costs'!I8*(1+'14 Drivers'!$D$35),0)</x:f>
        <x:v>-7518.229166666668</x:v>
      </x:c>
      <x:c r="J23" s="175" t="n">
        <x:f>'12 Management Budget'!J12-IF(MONTH(J5)&gt;=3,'07 Draft Operating Costs'!J8*(1+'14 Drivers'!$D$35),0)</x:f>
        <x:v>-17339.572916666668</x:v>
      </x:c>
      <x:c r="K23" s="175" t="n">
        <x:f>'12 Management Budget'!K12-IF(MONTH(K5)&gt;=3,'07 Draft Operating Costs'!K8*(1+'14 Drivers'!$D$35),0)</x:f>
        <x:v>-11156.979166666668</x:v>
      </x:c>
      <x:c r="L23" s="175" t="n">
        <x:f>'12 Management Budget'!L12-IF(MONTH(L5)&gt;=3,'07 Draft Operating Costs'!L8*(1+'14 Drivers'!$D$35),0)</x:f>
        <x:v>1222.3958333333321</x:v>
      </x:c>
      <x:c r="M23" s="175" t="n">
        <x:f>'12 Management Budget'!M12-IF(MONTH(M5)&gt;=3,'07 Draft Operating Costs'!M8*(1+'14 Drivers'!$D$35),0)</x:f>
        <x:v>4714.214583333331</x:v>
      </x:c>
      <x:c r="N23" s="175" t="n">
        <x:f>'12 Management Budget'!N12-IF(MONTH(N5)&gt;=3,'07 Draft Operating Costs'!N8*(1+'14 Drivers'!$D$35),0)</x:f>
        <x:v>-6214.291666666668</x:v>
      </x:c>
      <x:c r="O23" s="175" t="n">
        <x:f>'12 Management Budget'!O12-IF(MONTH(O5)&gt;=3,'07 Draft Operating Costs'!O8*(1+'14 Drivers'!$D$35),0)</x:f>
        <x:v>-2116.979166666668</x:v>
      </x:c>
      <x:c r="P23" s="174" t="n">
        <x:f>SUM(D23:O23)</x:f>
        <x:v>-50995.82708333335</x:v>
      </x:c>
      <x:c r="Q23" s="164"/>
      <x:c r="R23" s="164"/>
    </x:row>
    <x:row r="24" ht="22" customHeight="1">
      <x:c r="B24" s="164"/>
      <x:c r="C24" s="164"/>
      <x:c r="D24" s="174"/>
      <x:c r="E24" s="174"/>
      <x:c r="F24" s="174"/>
      <x:c r="G24" s="174"/>
      <x:c r="H24" s="174"/>
      <x:c r="I24" s="174"/>
      <x:c r="J24" s="174"/>
      <x:c r="K24" s="174"/>
      <x:c r="L24" s="174"/>
      <x:c r="M24" s="174"/>
      <x:c r="N24" s="174"/>
      <x:c r="O24" s="174"/>
      <x:c r="P24" s="174"/>
      <x:c r="Q24" s="164"/>
      <x:c r="R24" s="164"/>
    </x:row>
    <x:row r="25" ht="22" customHeight="1">
      <x:c r="B25" s="164"/>
      <x:c r="C25" s="164"/>
      <x:c r="D25" s="174"/>
      <x:c r="E25" s="174"/>
      <x:c r="F25" s="174"/>
      <x:c r="G25" s="174"/>
      <x:c r="H25" s="174"/>
      <x:c r="I25" s="174"/>
      <x:c r="J25" s="174"/>
      <x:c r="K25" s="174"/>
      <x:c r="L25" s="174"/>
      <x:c r="M25" s="174"/>
      <x:c r="N25" s="174"/>
      <x:c r="O25" s="174"/>
      <x:c r="P25" s="174"/>
      <x:c r="Q25" s="164"/>
      <x:c r="R25" s="164"/>
    </x:row>
    <x:row r="26" ht="64" customHeight="1">
      <x:c r="B26" s="285" t="str">
        <x:v>Opening pipeline</x:v>
      </x:c>
      <x:c r="C26" s="285"/>
      <x:c r="D26" s="286" t="str">
        <x:v>Part 1 Jan external 15.8 days and Feb 14 days depend on existing supplier arrangements. If unavailable, defer the affected deliveries and reforecast.</x:v>
      </x:c>
      <x:c r="E26" s="286"/>
      <x:c r="F26" s="286"/>
      <x:c r="G26" s="286"/>
      <x:c r="H26" s="286"/>
      <x:c r="I26" s="286"/>
      <x:c r="J26" s="286"/>
      <x:c r="K26" s="286"/>
      <x:c r="L26" s="286"/>
      <x:c r="M26" s="286"/>
      <x:c r="N26" s="286"/>
      <x:c r="O26" s="286"/>
      <x:c r="P26" s="286"/>
      <x:c r="Q26" s="164"/>
      <x:c r="R26" s="164"/>
    </x:row>
    <x:row r="27" ht="64" customHeight="1">
      <x:c r="B27" s="285" t="str">
        <x:v>February new event</x:v>
      </x:c>
      <x:c r="C27" s="285"/>
      <x:c r="D27" s="286" t="str">
        <x:v>Proposed 27–28 Feb. Booking by 11 Jan leaves 47 days, just above six weeks. Eight-week supplier requirement forces a move to March and monthly revision.</x:v>
      </x:c>
      <x:c r="E27" s="286"/>
      <x:c r="F27" s="286"/>
      <x:c r="G27" s="286"/>
      <x:c r="H27" s="286"/>
      <x:c r="I27" s="286"/>
      <x:c r="J27" s="286"/>
      <x:c r="K27" s="286"/>
      <x:c r="L27" s="286"/>
      <x:c r="M27" s="286"/>
      <x:c r="N27" s="286"/>
      <x:c r="O27" s="286"/>
      <x:c r="P27" s="286"/>
      <x:c r="Q27" s="164"/>
      <x:c r="R27" s="164"/>
    </x:row>
    <x:row r="28" ht="64" customHeight="1">
      <x:c r="B28" s="285" t="str">
        <x:v>Later new event bookings</x:v>
      </x:c>
      <x:c r="C28" s="285"/>
      <x:c r="D28" s="286" t="str">
        <x:v>Apr 23–24: book 26 Feb. Jun 18–19: book 23 Apr. Dec 10–11: book 15 Oct. Each provides eight weeks. Linda owns four-week promotion and paid demand.</x:v>
      </x:c>
      <x:c r="E28" s="286"/>
      <x:c r="F28" s="286"/>
      <x:c r="G28" s="286"/>
      <x:c r="H28" s="286"/>
      <x:c r="I28" s="286"/>
      <x:c r="J28" s="286"/>
      <x:c r="K28" s="286"/>
      <x:c r="L28" s="286"/>
      <x:c r="M28" s="286"/>
      <x:c r="N28" s="286"/>
      <x:c r="O28" s="286"/>
      <x:c r="P28" s="286"/>
      <x:c r="Q28" s="164"/>
      <x:c r="R28" s="164"/>
    </x:row>
    <x:row r="29" ht="64" customHeight="1">
      <x:c r="B29" s="285" t="str">
        <x:v>Premium seats</x:v>
      </x:c>
      <x:c r="C29" s="285"/>
      <x:c r="D29" s="286" t="str">
        <x:v>Pooled enquiries do not prove EUR 600 willingness. Require eight prepaid seats, venue confirmation and client follow-up before committing. Existing marketing appropriation is retained.</x:v>
      </x:c>
      <x:c r="E29" s="286"/>
      <x:c r="F29" s="286"/>
      <x:c r="G29" s="286"/>
      <x:c r="H29" s="286"/>
      <x:c r="I29" s="286"/>
      <x:c r="J29" s="286"/>
      <x:c r="K29" s="286"/>
      <x:c r="L29" s="286"/>
      <x:c r="M29" s="286"/>
      <x:c r="N29" s="286"/>
      <x:c r="O29" s="286"/>
      <x:c r="P29" s="286"/>
      <x:c r="Q29" s="164"/>
      <x:c r="R29" s="164"/>
    </x:row>
    <x:row r="30" ht="64" customHeight="1">
      <x:c r="B30" s="285" t="str">
        <x:v>Senior instructor</x:v>
      </x:c>
      <x:c r="C30" s="285"/>
      <x:c r="D30" s="286" t="str">
        <x:v>Confirm source salary coverage, competence and whole dated allocations. Loaded allowance includes an assumed 25% burden. Retain 2-day reserve. Failure diagnostic retains training sunk cost.</x:v>
      </x:c>
      <x:c r="E30" s="286"/>
      <x:c r="F30" s="286"/>
      <x:c r="G30" s="286"/>
      <x:c r="H30" s="286"/>
      <x:c r="I30" s="286"/>
      <x:c r="J30" s="286"/>
      <x:c r="K30" s="286"/>
      <x:c r="L30" s="286"/>
      <x:c r="M30" s="286"/>
      <x:c r="N30" s="286"/>
      <x:c r="O30" s="286"/>
      <x:c r="P30" s="286"/>
      <x:c r="Q30" s="164"/>
      <x:c r="R30" s="164"/>
    </x:row>
    <x:row r="31" ht="64" customHeight="1">
      <x:c r="B31" s="285" t="str">
        <x:v>Assistant concurrency</x:v>
      </x:c>
      <x:c r="C31" s="285"/>
      <x:c r="D31" s="286" t="str">
        <x:v>September needs two additional people concurrently for two days. One regular assistant is only one person. Assistant fees for all required people are already priced; no second fee added.</x:v>
      </x:c>
      <x:c r="E31" s="286"/>
      <x:c r="F31" s="286"/>
      <x:c r="G31" s="286"/>
      <x:c r="H31" s="286"/>
      <x:c r="I31" s="286"/>
      <x:c r="J31" s="286"/>
      <x:c r="K31" s="286"/>
      <x:c r="L31" s="286"/>
      <x:c r="M31" s="286"/>
      <x:c r="N31" s="286"/>
      <x:c r="O31" s="286"/>
      <x:c r="P31" s="286"/>
      <x:c r="Q31" s="164"/>
      <x:c r="R31" s="164"/>
    </x:row>
    <x:row r="32" ht="64" customHeight="1">
      <x:c r="B32" s="285" t="str">
        <x:v>AI feasibility challenge</x:v>
      </x:c>
      <x:c r="C32" s="285"/>
      <x:c r="D32" s="286" t="str">
        <x:v>A separate AI checked Part 2 timing, costs, premium-seat assumptions and capacity. Numerical differences were zero. Response added lead-time conditions, prepaid thresholds, reserve and failure disclosure.</x:v>
      </x:c>
      <x:c r="E32" s="286"/>
      <x:c r="F32" s="286"/>
      <x:c r="G32" s="286"/>
      <x:c r="H32" s="286"/>
      <x:c r="I32" s="286"/>
      <x:c r="J32" s="286"/>
      <x:c r="K32" s="286"/>
      <x:c r="L32" s="286"/>
      <x:c r="M32" s="286"/>
      <x:c r="N32" s="286"/>
      <x:c r="O32" s="286"/>
      <x:c r="P32" s="286"/>
      <x:c r="Q32" s="164"/>
      <x:c r="R32" s="164"/>
    </x:row>
    <x:row r="33" ht="64" customHeight="1">
      <x:c r="B33" s="285" t="str">
        <x:v>Board approval</x:v>
      </x:c>
      <x:c r="C33" s="285"/>
      <x:c r="D33" s="286" t="str">
        <x:v>Reject original draft. Conditional approval of costed actions does not approve the full annual plan: forecast loss remains. Review monthly pipeline, realised contribution and capacity.</x:v>
      </x:c>
      <x:c r="E33" s="286"/>
      <x:c r="F33" s="286"/>
      <x:c r="G33" s="286"/>
      <x:c r="H33" s="286"/>
      <x:c r="I33" s="286"/>
      <x:c r="J33" s="286"/>
      <x:c r="K33" s="286"/>
      <x:c r="L33" s="286"/>
      <x:c r="M33" s="286"/>
      <x:c r="N33" s="286"/>
      <x:c r="O33" s="286"/>
      <x:c r="P33" s="286"/>
      <x:c r="Q33" s="164"/>
      <x:c r="R33" s="164"/>
    </x:row>
    <x:row r="34" ht="22" customHeight="1">
      <x:c r="B34" s="164"/>
      <x:c r="C34" s="164"/>
      <x:c r="D34" s="174"/>
      <x:c r="E34" s="174"/>
      <x:c r="F34" s="174"/>
      <x:c r="G34" s="174"/>
      <x:c r="H34" s="174"/>
      <x:c r="I34" s="174"/>
      <x:c r="J34" s="174"/>
      <x:c r="K34" s="174"/>
      <x:c r="L34" s="174"/>
      <x:c r="M34" s="174"/>
      <x:c r="N34" s="174"/>
      <x:c r="O34" s="174"/>
      <x:c r="P34" s="174"/>
      <x:c r="Q34" s="164"/>
      <x:c r="R34" s="164"/>
    </x:row>
  </x:sheetData>
  <x:mergeCells>
    <x:mergeCell ref="D26:P26"/>
    <x:mergeCell ref="D27:P27"/>
    <x:mergeCell ref="D28:P28"/>
    <x:mergeCell ref="D29:P29"/>
    <x:mergeCell ref="D30:P30"/>
    <x:mergeCell ref="D31:P31"/>
    <x:mergeCell ref="D32:P32"/>
    <x:mergeCell ref="D33:P33"/>
  </x:mergeCells>
  <x:conditionalFormatting sqref="D7:P7">
    <x:cfRule type="expression" dxfId="4" priority="1">
      <x:formula>ABS(D7)&gt;0.005</x:formula>
    </x:cfRule>
  </x:conditionalFormatting>
  <x:conditionalFormatting sqref="D8:P8">
    <x:cfRule type="expression" dxfId="5" priority="2">
      <x:formula>ABS(D8)&gt;0.005</x:formula>
    </x:cfRule>
  </x:conditionalFormatting>
  <x:conditionalFormatting sqref="D9:P9">
    <x:cfRule type="expression" dxfId="6" priority="3">
      <x:formula>ABS(D9)&gt;0.005</x:formula>
    </x:cfRule>
  </x:conditionalFormatting>
  <x:conditionalFormatting sqref="D10:P10">
    <x:cfRule type="expression" dxfId="7" priority="4">
      <x:formula>ABS(D10)&gt;0.005</x:formula>
    </x:cfRule>
  </x:conditionalFormatting>
  <x:conditionalFormatting sqref="D11:P11">
    <x:cfRule type="expression" dxfId="8" priority="5">
      <x:formula>ABS(D11)&gt;0.005</x:formula>
    </x:cfRule>
  </x:conditionalFormatting>
  <x:conditionalFormatting sqref="D12:P12">
    <x:cfRule type="expression" dxfId="9" priority="6">
      <x:formula>ABS(D12)&gt;0.005</x:formula>
    </x:cfRule>
  </x:conditionalFormatting>
  <x:conditionalFormatting sqref="D13:P13">
    <x:cfRule type="expression" dxfId="10" priority="7">
      <x:formula>ABS(D13)&gt;0.005</x:formula>
    </x:cfRule>
  </x:conditionalFormatting>
  <x:conditionalFormatting sqref="D14:P14">
    <x:cfRule type="expression" dxfId="11" priority="8">
      <x:formula>ABS(D14)&gt;0.005</x:formula>
    </x:cfRule>
  </x:conditionalFormatting>
  <x:pageMargins left="0.7" right="0.7" top="0.75" bottom="0.75" header="0.3" footer="0.3"/>
</x:worksheet>
</file>