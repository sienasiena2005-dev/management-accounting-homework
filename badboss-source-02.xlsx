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6ea8e7c5d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Read Me" sheetId="1" r:id="Rae0e7d7222a04c7e"/>
    <x:sheet xmlns:r="http://schemas.openxmlformats.org/officeDocument/2006/relationships" name="01 Prior Year P&amp;L" sheetId="2" r:id="R4e2b77b3547445c7"/>
    <x:sheet xmlns:r="http://schemas.openxmlformats.org/officeDocument/2006/relationships" name="02 Prior Year Sales" sheetId="3" r:id="R4afb0f23aa494329"/>
    <x:sheet xmlns:r="http://schemas.openxmlformats.org/officeDocument/2006/relationships" name="03 Prior Year Marketing" sheetId="4" r:id="Reb17ea6b1939483a"/>
    <x:sheet xmlns:r="http://schemas.openxmlformats.org/officeDocument/2006/relationships" name="04 Prior Year Programs" sheetId="5" r:id="Rac3520ba91e947d2"/>
    <x:sheet xmlns:r="http://schemas.openxmlformats.org/officeDocument/2006/relationships" name="05 Draft Sales Budget" sheetId="6" r:id="Rfd4a4b62a8dd4007"/>
    <x:sheet xmlns:r="http://schemas.openxmlformats.org/officeDocument/2006/relationships" name="06 Draft Program Plan" sheetId="7" r:id="R80f02956c8d04123"/>
    <x:sheet xmlns:r="http://schemas.openxmlformats.org/officeDocument/2006/relationships" name="07 Draft Operating Costs" sheetId="8" r:id="R39ec6d60c4ff46e3"/>
    <x:sheet xmlns:r="http://schemas.openxmlformats.org/officeDocument/2006/relationships" name="08 Draft P&amp;L" sheetId="9" r:id="R42cfcaf989ff4c00"/>
    <x:sheet xmlns:r="http://schemas.openxmlformats.org/officeDocument/2006/relationships" name="09 Assumption Review" sheetId="11" r:id="R2f51c2a28a7f4e8c"/>
    <x:sheet xmlns:r="http://schemas.openxmlformats.org/officeDocument/2006/relationships" name="10 Corrected Budget" sheetId="12" r:id="Rdedb42721269424b"/>
    <x:sheet xmlns:r="http://schemas.openxmlformats.org/officeDocument/2006/relationships" name="11 Management Recommendation" sheetId="13" r:id="Rbe0eabb1398c4dcb"/>
    <x:sheet xmlns:r="http://schemas.openxmlformats.org/officeDocument/2006/relationships" name="12 Management Budget" sheetId="14" r:id="R0559071b2f3141fb"/>
    <x:sheet xmlns:r="http://schemas.openxmlformats.org/officeDocument/2006/relationships" name="13 Monthly Comparison" sheetId="15" r:id="Ra80dde2b3a52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€#,##0;[Red](€#,##0);-"/>
    <x:numFmt numFmtId="201" formatCode="0.0%"/>
    <x:numFmt numFmtId="202" formatCode="#,##0;[Red](#,##0);-"/>
    <x:numFmt numFmtId="203" formatCode="0.0"/>
    <x:numFmt numFmtId="204" formatCode="€#,##0;[Red](€#,##0);&quot;–&quot;"/>
    <x:numFmt numFmtId="205" formatCode="0.0%;[Red](0.0%);&quot;–&quot;"/>
    <x:numFmt numFmtId="206" formatCode="#,##0.0"/>
  </x:numFmts>
  <x:fonts count="15">
    <x:font>
      <x:sz val="11"/>
      <x:name val="Carlito"/>
    </x:font>
    <x:font>
      <x:b/>
      <x:sz val="16"/>
      <x:color rgb="FF000000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2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9"/>
      <x:color rgb="FF0000FF"/>
      <x:name val="Arial"/>
    </x:font>
    <x:font>
      <x:sz val="10"/>
      <x:name val="Arial"/>
    </x:font>
    <x:font>
      <x:b/>
      <x:sz val="14"/>
      <x:name val="Arial"/>
    </x:font>
    <x:font>
      <x:i/>
      <x:sz val="10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73A4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83D48"/>
      </x:patternFill>
    </x:fill>
    <x:fill>
      <x:patternFill patternType="solid">
        <x:fgColor rgb="FFFFF2CC"/>
      </x:patternFill>
    </x:fill>
    <x:fill>
      <x:patternFill patternType="solid">
        <x:fgColor rgb="FFE6EFF3"/>
      </x:patternFill>
    </x:fill>
    <x:fill>
      <x:patternFill patternType="solid">
        <x:fgColor rgb="FFFFFFFF"/>
      </x:patternFill>
    </x:fill>
    <x:fill>
      <x:patternFill patternType="solid">
        <x:fgColor rgb="FFFFF7E5"/>
      </x:patternFill>
    </x:fill>
    <x:fill>
      <x:patternFill patternType="solid">
        <x:fgColor rgb="FFF0F7EA"/>
      </x:patternFill>
    </x:fill>
  </x:fills>
  <x:borders count="7">
    <x:border/>
    <x:border>
      <x:bottom style="thin">
        <x:color rgb="FF73878D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top style="double">
        <x:color rgb="FF000000"/>
      </x:top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</x:borders>
  <x:cellStyleXfs count="1">
    <x:xf numFmtId="0" fontId="0" fillId="0" borderId="0"/>
  </x:cellStyleXfs>
  <x:cellXfs count="163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0" fillId="0" borderId="2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/>
    <x:xf numFmtId="0" fontId="7" fillId="0" borderId="2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7" fillId="0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/>
    <x:xf numFmtId="200" fontId="0" fillId="0" borderId="0" xfId="0" applyNumberFormat="1" applyFont="1" applyFill="1" applyBorder="1"/>
    <x:xf numFmtId="200" fontId="4" fillId="0" borderId="3" xfId="0" applyNumberFormat="1" applyFont="1" applyFill="1" applyBorder="1"/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200" fontId="7" fillId="0" borderId="0" xfId="0" applyNumberFormat="1" applyFont="1" applyFill="1" applyBorder="1"/>
    <x:xf numFmtId="0" fontId="6" fillId="0" borderId="3" xfId="0" applyNumberFormat="1" applyFont="1" applyFill="1" applyBorder="1"/>
    <x:xf numFmtId="200" fontId="6" fillId="0" borderId="3" xfId="0" applyNumberFormat="1" applyFont="1" applyFill="1" applyBorder="1"/>
    <x:xf numFmtId="200" fontId="7" fillId="0" borderId="0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0" fontId="10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1" fontId="7" fillId="3" borderId="0" xfId="0" applyNumberFormat="1" applyFont="1" applyFill="1" applyBorder="1"/>
    <x:xf numFmtId="0" fontId="7" fillId="4" borderId="0" xfId="0" applyNumberFormat="1" applyFont="1" applyFill="1" applyBorder="1"/>
    <x:xf numFmtId="200" fontId="7" fillId="4" borderId="0" xfId="0" applyNumberFormat="1" applyFont="1" applyFill="1" applyBorder="1"/>
    <x:xf numFmtId="201" fontId="7" fillId="4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9" fillId="0" borderId="0" xfId="0" applyNumberFormat="1" applyFont="1" applyFill="1" applyBorder="1"/>
    <x:xf numFmtId="202" fontId="7" fillId="0" borderId="0" xfId="0" applyNumberFormat="1" applyFont="1" applyFill="1" applyBorder="1"/>
    <x:xf numFmtId="202" fontId="7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7" fillId="0" borderId="0" xfId="0" applyNumberFormat="1" applyFont="1" applyFill="1" applyBorder="1"/>
    <x:xf numFmtId="203" fontId="7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1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/>
    <x:xf numFmtId="0" fontId="11" fillId="0" borderId="0" xfId="0" applyNumberFormat="1" applyFont="1" applyFill="1" applyBorder="1"/>
    <x:xf numFmtId="201" fontId="7" fillId="0" borderId="0" xfId="0" applyNumberFormat="1" applyFont="1" applyFill="1" applyBorder="1"/>
    <x:xf numFmtId="202" fontId="6" fillId="3" borderId="0" xfId="0" applyNumberFormat="1" applyFont="1" applyFill="1" applyBorder="1"/>
    <x:xf numFmtId="201" fontId="7" fillId="0" borderId="0" xfId="0" applyNumberFormat="1" applyFont="1" applyFill="1" applyBorder="1" applyAlignment="1">
      <x:alignment vertical="center"/>
    </x:xf>
    <x:xf numFmtId="202" fontId="6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7" fillId="5" borderId="2" xfId="0" applyNumberFormat="1" applyFont="1" applyFill="1" applyBorder="1"/>
    <x:xf numFmtId="0" fontId="7" fillId="5" borderId="2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/>
    <x:xf numFmtId="201" fontId="0" fillId="5" borderId="2" xfId="0" applyNumberFormat="1" applyFont="1" applyFill="1" applyBorder="1"/>
    <x:xf numFmtId="202" fontId="0" fillId="5" borderId="2" xfId="0" applyNumberFormat="1" applyFont="1" applyFill="1" applyBorder="1"/>
    <x:xf numFmtId="200" fontId="7" fillId="5" borderId="2" xfId="0" applyNumberFormat="1" applyFont="1" applyFill="1" applyBorder="1"/>
    <x:xf numFmtId="201" fontId="7" fillId="5" borderId="2" xfId="0" applyNumberFormat="1" applyFont="1" applyFill="1" applyBorder="1"/>
    <x:xf numFmtId="202" fontId="7" fillId="5" borderId="2" xfId="0" applyNumberFormat="1" applyFont="1" applyFill="1" applyBorder="1"/>
    <x:xf numFmtId="200" fontId="7" fillId="5" borderId="2" xfId="0" applyNumberFormat="1" applyFont="1" applyFill="1" applyBorder="1" applyAlignment="1">
      <x:alignment vertical="center"/>
    </x:xf>
    <x:xf numFmtId="201" fontId="7" fillId="5" borderId="2" xfId="0" applyNumberFormat="1" applyFont="1" applyFill="1" applyBorder="1" applyAlignment="1">
      <x:alignment vertical="center"/>
    </x:xf>
    <x:xf numFmtId="202" fontId="7" fillId="5" borderId="2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2" fillId="6" borderId="0" xfId="0" applyNumberFormat="1" applyFont="1" applyFill="1" applyBorder="1"/>
    <x:xf numFmtId="0" fontId="3" fillId="6" borderId="0" xfId="0" applyNumberFormat="1" applyFont="1" applyFill="1" applyBorder="1"/>
    <x:xf numFmtId="0" fontId="12" fillId="7" borderId="0" xfId="0" applyNumberFormat="1" applyFont="1" applyFill="1" applyBorder="1"/>
    <x:xf numFmtId="0" fontId="3" fillId="6" borderId="4" xfId="0" applyNumberFormat="1" applyFont="1" applyFill="1" applyBorder="1"/>
    <x:xf numFmtId="0" fontId="12" fillId="0" borderId="5" xfId="0" applyNumberFormat="1" applyFont="1" applyFill="1" applyBorder="1"/>
    <x:xf numFmtId="0" fontId="12" fillId="7" borderId="5" xfId="0" applyNumberFormat="1" applyFont="1" applyFill="1" applyBorder="1"/>
    <x:xf numFmtId="0" fontId="12" fillId="0" borderId="6" xfId="0" applyNumberFormat="1" applyFont="1" applyFill="1" applyBorder="1"/>
    <x:xf numFmtId="0" fontId="12" fillId="7" borderId="6" xfId="0" applyNumberFormat="1" applyFont="1" applyFill="1" applyBorder="1"/>
    <x:xf numFmtId="204" fontId="7" fillId="5" borderId="2" xfId="0" applyNumberFormat="1" applyFont="1" applyFill="1" applyBorder="1" applyAlignment="1">
      <x:alignment vertical="center"/>
    </x:xf>
    <x:xf numFmtId="205" fontId="7" fillId="5" borderId="2" xfId="0" applyNumberFormat="1" applyFont="1" applyFill="1" applyBorder="1" applyAlignment="1">
      <x:alignment vertical="center"/>
    </x:xf>
    <x:xf numFmtId="206" fontId="7" fillId="5" borderId="2" xfId="0" applyNumberFormat="1" applyFont="1" applyFill="1" applyBorder="1" applyAlignment="1">
      <x:alignment vertical="center"/>
    </x:xf>
    <x:xf numFmtId="204" fontId="7" fillId="8" borderId="2" xfId="0" applyNumberFormat="1" applyFont="1" applyFill="1" applyBorder="1" applyAlignment="1">
      <x:alignment vertical="center"/>
    </x:xf>
    <x:xf numFmtId="205" fontId="7" fillId="8" borderId="2" xfId="0" applyNumberFormat="1" applyFont="1" applyFill="1" applyBorder="1" applyAlignment="1">
      <x:alignment vertical="center"/>
    </x:xf>
    <x:xf numFmtId="204" fontId="9" fillId="5" borderId="2" xfId="0" applyNumberFormat="1" applyFont="1" applyFill="1" applyBorder="1" applyAlignment="1">
      <x:alignment vertical="center"/>
    </x:xf>
    <x:xf numFmtId="206" fontId="9" fillId="5" borderId="2" xfId="0" applyNumberFormat="1" applyFont="1" applyFill="1" applyBorder="1" applyAlignment="1">
      <x:alignment vertical="center"/>
    </x:xf>
    <x:xf numFmtId="206" fontId="7" fillId="8" borderId="2" xfId="0" applyNumberFormat="1" applyFont="1" applyFill="1" applyBorder="1" applyAlignment="1">
      <x:alignment vertical="center"/>
    </x:xf>
    <x:xf numFmtId="204" fontId="12" fillId="7" borderId="5" xfId="0" applyNumberFormat="1" applyFont="1" applyFill="1" applyBorder="1"/>
    <x:xf numFmtId="204" fontId="12" fillId="0" borderId="5" xfId="0" applyNumberFormat="1" applyFont="1" applyFill="1" applyBorder="1"/>
    <x:xf numFmtId="205" fontId="12" fillId="7" borderId="5" xfId="0" applyNumberFormat="1" applyFont="1" applyFill="1" applyBorder="1"/>
    <x:xf numFmtId="205" fontId="12" fillId="0" borderId="5" xfId="0" applyNumberFormat="1" applyFont="1" applyFill="1" applyBorder="1"/>
    <x:xf numFmtId="206" fontId="12" fillId="7" borderId="5" xfId="0" applyNumberFormat="1" applyFont="1" applyFill="1" applyBorder="1"/>
    <x:xf numFmtId="206" fontId="12" fillId="0" borderId="5" xfId="0" applyNumberFormat="1" applyFont="1" applyFill="1" applyBorder="1"/>
    <x:xf numFmtId="206" fontId="12" fillId="7" borderId="6" xfId="0" applyNumberFormat="1" applyFont="1" applyFill="1" applyBorder="1"/>
    <x:xf numFmtId="206" fontId="12" fillId="0" borderId="6" xfId="0" applyNumberFormat="1" applyFont="1" applyFill="1" applyBorder="1"/>
    <x:xf numFmtId="204" fontId="12" fillId="8" borderId="5" xfId="0" applyNumberFormat="1" applyFont="1" applyFill="1" applyBorder="1"/>
    <x:xf numFmtId="204" fontId="7" fillId="8" borderId="5" xfId="0" applyNumberFormat="1" applyFont="1" applyFill="1" applyBorder="1"/>
    <x:xf numFmtId="205" fontId="12" fillId="8" borderId="5" xfId="0" applyNumberFormat="1" applyFont="1" applyFill="1" applyBorder="1"/>
    <x:xf numFmtId="205" fontId="7" fillId="8" borderId="5" xfId="0" applyNumberFormat="1" applyFont="1" applyFill="1" applyBorder="1"/>
    <x:xf numFmtId="204" fontId="9" fillId="7" borderId="5" xfId="0" applyNumberFormat="1" applyFont="1" applyFill="1" applyBorder="1"/>
    <x:xf numFmtId="206" fontId="9" fillId="7" borderId="5" xfId="0" applyNumberFormat="1" applyFont="1" applyFill="1" applyBorder="1"/>
    <x:xf numFmtId="206" fontId="9" fillId="7" borderId="6" xfId="0" applyNumberFormat="1" applyFont="1" applyFill="1" applyBorder="1"/>
    <x:xf numFmtId="206" fontId="12" fillId="8" borderId="5" xfId="0" applyNumberFormat="1" applyFont="1" applyFill="1" applyBorder="1"/>
    <x:xf numFmtId="206" fontId="12" fillId="8" borderId="6" xfId="0" applyNumberFormat="1" applyFont="1" applyFill="1" applyBorder="1"/>
    <x:xf numFmtId="204" fontId="7" fillId="5" borderId="2" xfId="0" applyNumberFormat="1" applyFont="1" applyFill="1" applyBorder="1" applyAlignment="1">
      <x:alignment vertical="center" wrapText="1"/>
    </x:xf>
    <x:xf numFmtId="204" fontId="7" fillId="8" borderId="2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/>
    <x:xf numFmtId="0" fontId="12" fillId="10" borderId="0" xfId="0" applyNumberFormat="1" applyFont="1" applyFill="1" applyBorder="1"/>
    <x:xf numFmtId="0" fontId="12" fillId="11" borderId="0" xfId="0" applyNumberFormat="1" applyFont="1" applyFill="1" applyBorder="1"/>
    <x:xf numFmtId="204" fontId="12" fillId="9" borderId="0" xfId="0" applyNumberFormat="1" applyFont="1" applyFill="1" applyBorder="1"/>
    <x:xf numFmtId="204" fontId="12" fillId="10" borderId="0" xfId="0" applyNumberFormat="1" applyFont="1" applyFill="1" applyBorder="1"/>
    <x:xf numFmtId="204" fontId="12" fillId="11" borderId="0" xfId="0" applyNumberFormat="1" applyFont="1" applyFill="1" applyBorder="1"/>
    <x:xf numFmtId="204" fontId="12" fillId="0" borderId="0" xfId="0" applyNumberFormat="1" applyFont="1" applyFill="1" applyBorder="1"/>
    <x:xf numFmtId="0" fontId="4" fillId="9" borderId="0" xfId="0" applyNumberFormat="1" applyFont="1" applyFill="1" applyBorder="1"/>
    <x:xf numFmtId="204" fontId="4" fillId="9" borderId="0" xfId="0" applyNumberFormat="1" applyFont="1" applyFill="1" applyBorder="1"/>
    <x:xf numFmtId="0" fontId="4" fillId="10" borderId="0" xfId="0" applyNumberFormat="1" applyFont="1" applyFill="1" applyBorder="1"/>
    <x:xf numFmtId="204" fontId="4" fillId="10" borderId="0" xfId="0" applyNumberFormat="1" applyFont="1" applyFill="1" applyBorder="1"/>
    <x:xf numFmtId="0" fontId="4" fillId="11" borderId="0" xfId="0" applyNumberFormat="1" applyFont="1" applyFill="1" applyBorder="1"/>
    <x:xf numFmtId="204" fontId="4" fillId="11" borderId="0" xfId="0" applyNumberFormat="1" applyFont="1" applyFill="1" applyBorder="1"/>
    <x:xf numFmtId="204" fontId="4" fillId="0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f75d11e774164" /><Relationship Type="http://schemas.openxmlformats.org/officeDocument/2006/relationships/theme" Target="/xl/theme/theme1.xml" Id="Rc77ca57616284048" /><Relationship Type="http://schemas.openxmlformats.org/officeDocument/2006/relationships/sharedStrings" Target="/xl/sharedStrings.xml" Id="R117ee2b0cc3847dc" /><Relationship Type="http://schemas.openxmlformats.org/officeDocument/2006/relationships/worksheet" Target="/xl/worksheets/sheet1.xml" Id="Rae0e7d7222a04c7e" /><Relationship Type="http://schemas.openxmlformats.org/officeDocument/2006/relationships/worksheet" Target="/xl/worksheets/sheet2.xml" Id="R4e2b77b3547445c7" /><Relationship Type="http://schemas.openxmlformats.org/officeDocument/2006/relationships/worksheet" Target="/xl/worksheets/sheet3.xml" Id="R4afb0f23aa494329" /><Relationship Type="http://schemas.openxmlformats.org/officeDocument/2006/relationships/worksheet" Target="/xl/worksheets/sheet4.xml" Id="Reb17ea6b1939483a" /><Relationship Type="http://schemas.openxmlformats.org/officeDocument/2006/relationships/worksheet" Target="/xl/worksheets/sheet5.xml" Id="Rac3520ba91e947d2" /><Relationship Type="http://schemas.openxmlformats.org/officeDocument/2006/relationships/worksheet" Target="/xl/worksheets/sheet6.xml" Id="Rfd4a4b62a8dd4007" /><Relationship Type="http://schemas.openxmlformats.org/officeDocument/2006/relationships/worksheet" Target="/xl/worksheets/sheet7.xml" Id="R80f02956c8d04123" /><Relationship Type="http://schemas.openxmlformats.org/officeDocument/2006/relationships/worksheet" Target="/xl/worksheets/sheet8.xml" Id="R39ec6d60c4ff46e3" /><Relationship Type="http://schemas.openxmlformats.org/officeDocument/2006/relationships/worksheet" Target="/xl/worksheets/sheet9.xml" Id="R42cfcaf989ff4c00" /><Relationship Type="http://schemas.openxmlformats.org/officeDocument/2006/relationships/worksheet" Target="/xl/worksheets/sheet10.xml" Id="R2f51c2a28a7f4e8c" /><Relationship Type="http://schemas.openxmlformats.org/officeDocument/2006/relationships/worksheet" Target="/xl/worksheets/sheet11.xml" Id="Rdedb42721269424b" /><Relationship Type="http://schemas.openxmlformats.org/officeDocument/2006/relationships/worksheet" Target="/xl/worksheets/sheet12.xml" Id="Rbe0eabb1398c4dcb" /><Relationship Type="http://schemas.openxmlformats.org/officeDocument/2006/relationships/worksheet" Target="/xl/worksheets/sheet13.xml" Id="R0559071b2f3141fb" /><Relationship Type="http://schemas.openxmlformats.org/officeDocument/2006/relationships/worksheet" Target="/xl/worksheets/sheet14.xml" Id="Ra80dde2b3a5248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8" hidden="0" customWidth="1"/>
    <x:col min="3" max="3" width="64" hidden="0" customWidth="1"/>
  </x:cols>
  <x:sheetData>
    <x:row r="2">
      <x:c r="B2" s="24" t="str">
        <x:v>Bad Boss Business School Budget Review</x:v>
      </x:c>
      <x:c r="C2" s="25"/>
      <x:c r="D2" s="25"/>
      <x:c r="E2" s="25"/>
      <x:c r="F2" s="25"/>
      <x:c r="G2" s="25"/>
      <x:c r="H2" s="25"/>
      <x:c r="I2" s="25"/>
      <x:c r="J2" s="25"/>
    </x:row>
    <x:row r="3">
      <x:c r="B3" s="26" t="str">
        <x:v>Student workbook. EUR, excluding VAT unless stated otherwise.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</x:row>
    <x:row r="6">
      <x:c r="B6" s="8" t="str">
        <x:v>Colour</x:v>
      </x:c>
      <x:c r="C6" s="8" t="str">
        <x:v>Meaning</x:v>
      </x:c>
      <x:c r="D6" s="27"/>
      <x:c r="E6" s="27"/>
      <x:c r="F6" s="27"/>
      <x:c r="G6" s="27"/>
      <x:c r="H6" s="27"/>
      <x:c r="I6" s="27"/>
      <x:c r="J6" s="27"/>
    </x:row>
    <x:row r="7">
      <x:c r="B7" s="28" t="str">
        <x:v>Blue text</x:v>
      </x:c>
      <x:c r="C7" s="29" t="str">
        <x:v>Manual inputs supplied by departments</x:v>
      </x:c>
      <x:c r="D7" s="27"/>
      <x:c r="E7" s="27"/>
      <x:c r="F7" s="27"/>
      <x:c r="G7" s="27"/>
      <x:c r="H7" s="27"/>
      <x:c r="I7" s="27"/>
      <x:c r="J7" s="27"/>
    </x:row>
    <x:row r="8">
      <x:c r="B8" s="28" t="str">
        <x:v>Green text</x:v>
      </x:c>
      <x:c r="C8" s="29" t="str">
        <x:v>Links to another worksheet</x:v>
      </x:c>
      <x:c r="D8" s="27"/>
      <x:c r="E8" s="27"/>
      <x:c r="F8" s="27"/>
      <x:c r="G8" s="27"/>
      <x:c r="H8" s="27"/>
      <x:c r="I8" s="27"/>
      <x:c r="J8" s="27"/>
    </x:row>
    <x:row r="9">
      <x:c r="B9" s="28" t="str">
        <x:v>Black text</x:v>
      </x:c>
      <x:c r="C9" s="29" t="str">
        <x:v>Formulas calculated on the same worksheet</x:v>
      </x:c>
      <x:c r="D9" s="27"/>
      <x:c r="E9" s="27"/>
      <x:c r="F9" s="27"/>
      <x:c r="G9" s="27"/>
      <x:c r="H9" s="27"/>
      <x:c r="I9" s="27"/>
      <x:c r="J9" s="27"/>
    </x:row>
    <x:row r="10">
      <x:c r="B10" s="28" t="str">
        <x:v>Yellow fill</x:v>
      </x:c>
      <x:c r="C10" s="29" t="str">
        <x:v>Student working area</x:v>
      </x:c>
      <x:c r="D10" s="27"/>
      <x:c r="E10" s="27"/>
      <x:c r="F10" s="27"/>
      <x:c r="G10" s="27"/>
      <x:c r="H10" s="27"/>
      <x:c r="I10" s="27"/>
      <x:c r="J10" s="27"/>
    </x:row>
    <x:row r="11">
      <x:c r="B11" s="27"/>
      <x:c r="C11" s="27"/>
      <x:c r="D11" s="27"/>
      <x:c r="E11" s="27"/>
      <x:c r="F11" s="27"/>
      <x:c r="G11" s="27"/>
      <x:c r="H11" s="27"/>
      <x:c r="I11" s="27"/>
      <x:c r="J11" s="27"/>
    </x:row>
    <x:row r="12">
      <x:c r="B12" s="30" t="str">
        <x:v>What the workbook contains</x:v>
      </x:c>
      <x:c r="C12" s="27"/>
      <x:c r="D12" s="27"/>
      <x:c r="E12" s="27"/>
      <x:c r="F12" s="27"/>
      <x:c r="G12" s="27"/>
      <x:c r="H12" s="27"/>
      <x:c r="I12" s="27"/>
      <x:c r="J12" s="27"/>
    </x:row>
    <x:row r="13">
      <x:c r="B13" s="27" t="str">
        <x:v>Prior-year financial, sales, marketing and operational results</x:v>
      </x:c>
      <x:c r="C13" s="27"/>
      <x:c r="D13" s="27"/>
      <x:c r="E13" s="27"/>
      <x:c r="F13" s="27"/>
      <x:c r="G13" s="27"/>
      <x:c r="H13" s="27"/>
      <x:c r="I13" s="27"/>
      <x:c r="J13" s="27"/>
    </x:row>
    <x:row r="14">
      <x:c r="B14" s="27" t="str">
        <x:v>The sales director's draft revenue budget</x:v>
      </x:c>
      <x:c r="C14" s="27"/>
      <x:c r="D14" s="27"/>
      <x:c r="E14" s="27"/>
      <x:c r="F14" s="27"/>
      <x:c r="G14" s="27"/>
      <x:c r="H14" s="27"/>
      <x:c r="I14" s="27"/>
      <x:c r="J14" s="27"/>
    </x:row>
    <x:row r="15">
      <x:c r="B15" s="27" t="str">
        <x:v>The operations director's planned-program register</x:v>
      </x:c>
      <x:c r="C15" s="27"/>
      <x:c r="D15" s="27"/>
      <x:c r="E15" s="27"/>
      <x:c r="F15" s="27"/>
      <x:c r="G15" s="27"/>
      <x:c r="H15" s="27"/>
      <x:c r="I15" s="27"/>
      <x:c r="J15" s="27"/>
    </x:row>
    <x:row r="16">
      <x:c r="B16" s="27" t="str">
        <x:v>The finance director's operating-expense budget</x:v>
      </x:c>
      <x:c r="C16" s="27"/>
      <x:c r="D16" s="27"/>
      <x:c r="E16" s="27"/>
      <x:c r="F16" s="27"/>
      <x:c r="G16" s="27"/>
      <x:c r="H16" s="27"/>
      <x:c r="I16" s="27"/>
      <x:c r="J16" s="27"/>
    </x:row>
    <x:row r="17">
      <x:c r="B17" s="27" t="str">
        <x:v>The resulting draft profit and loss statement</x:v>
      </x:c>
      <x:c r="C17" s="27"/>
      <x:c r="D17" s="27"/>
      <x:c r="E17" s="27"/>
      <x:c r="F17" s="27"/>
      <x:c r="G17" s="27"/>
      <x:c r="H17" s="27"/>
      <x:c r="I17" s="27"/>
      <x:c r="J17" s="27"/>
    </x:row>
    <x:row r="18">
      <x:c r="B18" s="27" t="str">
        <x:v>Two tasks: first correct the forecast, then decide how to improve the business.</x:v>
      </x:c>
      <x:c r="C18" s="27"/>
      <x:c r="D18" s="27"/>
      <x:c r="E18" s="27"/>
      <x:c r="F18" s="27"/>
      <x:c r="G18" s="27"/>
      <x:c r="H18" s="27"/>
      <x:c r="I18" s="27"/>
      <x:c r="J18" s="27"/>
    </x:row>
    <x:row r="19">
      <x:c r="B19" s="27" t="str">
        <x:v>Work in sheets 09–13. Keep source sheets 01–08 unchanged.</x:v>
      </x:c>
      <x:c r="C19" s="27"/>
      <x:c r="D19" s="27"/>
      <x:c r="E19" s="27"/>
      <x:c r="F19" s="27"/>
      <x:c r="G19" s="27"/>
      <x:c r="H19" s="27"/>
      <x:c r="I19" s="27"/>
      <x:c r="J19" s="27"/>
    </x:row>
    <x:row r="20">
      <x:c r="B20" s="27"/>
      <x:c r="C20" s="27"/>
      <x:c r="D20" s="27"/>
      <x:c r="E20" s="27"/>
      <x:c r="F20" s="27"/>
      <x:c r="G20" s="27"/>
      <x:c r="H20" s="27"/>
      <x:c r="I20" s="27"/>
      <x:c r="J20" s="27"/>
    </x:row>
    <x:row r="21">
      <x:c r="B21" s="30" t="str">
        <x:v>Part 1  Red-pencil correction</x:v>
      </x:c>
      <x:c r="C21" s="27"/>
      <x:c r="D21" s="27"/>
      <x:c r="E21" s="27"/>
      <x:c r="F21" s="27"/>
      <x:c r="G21" s="27"/>
      <x:c r="H21" s="27"/>
      <x:c r="I21" s="27"/>
      <x:c r="J21" s="27"/>
    </x:row>
    <x:row r="22" ht="24" customHeight="1">
      <x:c r="B22" s="31" t="str">
        <x:v>In 10 Corrected Budget, calculate the monthly result if existing decisions remain unchanged. Correct unsupported estimates using the case evidence; do not introduce new actions to improve performance.</x:v>
      </x:c>
      <x:c r="C22" s="31"/>
      <x:c r="D22" s="31"/>
      <x:c r="E22" s="31"/>
      <x:c r="F22" s="31"/>
      <x:c r="G22" s="31"/>
      <x:c r="H22" s="31"/>
      <x:c r="I22" s="31"/>
      <x:c r="J22" s="31"/>
    </x:row>
    <x:row r="23" ht="24" customHeight="1">
      <x:c r="B23" s="31"/>
      <x:c r="C23" s="31"/>
      <x:c r="D23" s="31"/>
      <x:c r="E23" s="31"/>
      <x:c r="F23" s="31"/>
      <x:c r="G23" s="31"/>
      <x:c r="H23" s="31"/>
      <x:c r="I23" s="31"/>
      <x:c r="J23" s="31"/>
    </x:row>
    <x:row r="25" ht="19" customHeight="1">
      <x:c r="B25" s="9" t="str">
        <x:v>Part 2  Management decisions and budget</x:v>
      </x:c>
      <x:c r="C25" s="9"/>
      <x:c r="D25" s="9"/>
      <x:c r="E25" s="9"/>
      <x:c r="F25" s="9"/>
      <x:c r="G25" s="9"/>
      <x:c r="H25" s="9"/>
      <x:c r="I25" s="9"/>
      <x:c r="J25" s="9"/>
    </x:row>
    <x:row r="26" ht="19" customHeight="1">
      <x:c r="B26" s="105" t="str">
        <x:v>Record your decisions in 11 Management Recommendation, including timing, costs and expected effects. Then build the resulting monthly P&amp;L in 12 Management Budget. Keep Part 1 intact.</x:v>
      </x:c>
      <x:c r="C26" s="105"/>
      <x:c r="D26" s="105"/>
      <x:c r="E26" s="105"/>
      <x:c r="F26" s="105"/>
      <x:c r="G26" s="105"/>
      <x:c r="H26" s="105"/>
      <x:c r="I26" s="105"/>
      <x:c r="J26" s="105"/>
    </x:row>
    <x:row r="27" ht="19" customHeight="1">
      <x:c r="B27" s="105"/>
      <x:c r="C27" s="105"/>
      <x:c r="D27" s="105"/>
      <x:c r="E27" s="105"/>
      <x:c r="F27" s="105"/>
      <x:c r="G27" s="105"/>
      <x:c r="H27" s="105"/>
      <x:c r="I27" s="105"/>
      <x:c r="J27" s="105"/>
    </x:row>
    <x:row r="28" ht="19" customHeight="1">
      <x:c r="B28" s="105"/>
      <x:c r="C28" s="105"/>
      <x:c r="D28" s="105"/>
      <x:c r="E28" s="105"/>
      <x:c r="F28" s="105"/>
      <x:c r="G28" s="105"/>
      <x:c r="H28" s="105"/>
      <x:c r="I28" s="105"/>
      <x:c r="J28" s="105"/>
    </x:row>
    <x:row r="29" ht="19" customHeight="1">
      <x:c r="B29" s="103"/>
      <x:c r="C29" s="103"/>
      <x:c r="D29" s="103"/>
      <x:c r="E29" s="103"/>
      <x:c r="F29" s="103"/>
      <x:c r="G29" s="103"/>
      <x:c r="H29" s="103"/>
      <x:c r="I29" s="103"/>
      <x:c r="J29" s="103"/>
    </x:row>
    <x:row r="30" ht="19" customHeight="1">
      <x:c r="B30" s="9" t="str">
        <x:v>Compare the three versions</x:v>
      </x:c>
      <x:c r="C30" s="9"/>
      <x:c r="D30" s="9"/>
      <x:c r="E30" s="9"/>
      <x:c r="F30" s="9"/>
      <x:c r="G30" s="9"/>
      <x:c r="H30" s="9"/>
      <x:c r="I30" s="9"/>
      <x:c r="J30" s="9"/>
    </x:row>
    <x:row r="31" ht="19" customHeight="1">
      <x:c r="B31" s="105" t="str">
        <x:v>13 Monthly Comparison links the original draft, Part 1 and Part 2. Use the same January–December columns and annual totals. Explain corrections and management decisions separately.</x:v>
      </x:c>
      <x:c r="C31" s="105"/>
      <x:c r="D31" s="105"/>
      <x:c r="E31" s="105"/>
      <x:c r="F31" s="105"/>
      <x:c r="G31" s="105"/>
      <x:c r="H31" s="105"/>
      <x:c r="I31" s="105"/>
      <x:c r="J31" s="105"/>
    </x:row>
    <x:row r="32" ht="19" customHeight="1">
      <x:c r="B32" s="105"/>
      <x:c r="C32" s="105"/>
      <x:c r="D32" s="105"/>
      <x:c r="E32" s="105"/>
      <x:c r="F32" s="105"/>
      <x:c r="G32" s="105"/>
      <x:c r="H32" s="105"/>
      <x:c r="I32" s="105"/>
      <x:c r="J32" s="105"/>
    </x:row>
    <x:row r="33" ht="19" customHeight="1">
      <x:c r="B33" s="105"/>
      <x:c r="C33" s="105"/>
      <x:c r="D33" s="105"/>
      <x:c r="E33" s="105"/>
      <x:c r="F33" s="105"/>
      <x:c r="G33" s="105"/>
      <x:c r="H33" s="105"/>
      <x:c r="I33" s="105"/>
      <x:c r="J33" s="105"/>
    </x:row>
    <x:row r="34" ht="19" customHeight="1">
      <x:c r="B34" s="103"/>
      <x:c r="C34" s="103"/>
      <x:c r="D34" s="103"/>
      <x:c r="E34" s="103"/>
      <x:c r="F34" s="103"/>
      <x:c r="G34" s="103"/>
      <x:c r="H34" s="103"/>
      <x:c r="I34" s="103"/>
      <x:c r="J34" s="103"/>
    </x:row>
    <x:row r="35" ht="19" customHeight="1">
      <x:c r="B35" s="105" t="str">
        <x:v>Use 09 Assumption Review to record evidence, uncertainties and whether a change is a correction or a new decision. Submit one workbook containing both budgets, their supporting calculations and the comparison.</x:v>
      </x:c>
      <x:c r="C35" s="105"/>
      <x:c r="D35" s="105"/>
      <x:c r="E35" s="105"/>
      <x:c r="F35" s="105"/>
      <x:c r="G35" s="105"/>
      <x:c r="H35" s="105"/>
      <x:c r="I35" s="105"/>
      <x:c r="J35" s="105"/>
    </x:row>
    <x:row r="36" ht="19" customHeight="1">
      <x:c r="B36" s="105"/>
      <x:c r="C36" s="105"/>
      <x:c r="D36" s="105"/>
      <x:c r="E36" s="105"/>
      <x:c r="F36" s="105"/>
      <x:c r="G36" s="105"/>
      <x:c r="H36" s="105"/>
      <x:c r="I36" s="105"/>
      <x:c r="J36" s="105"/>
    </x:row>
    <x:row r="37" ht="19" customHeight="1">
      <x:c r="B37" s="105"/>
      <x:c r="C37" s="105"/>
      <x:c r="D37" s="105"/>
      <x:c r="E37" s="105"/>
      <x:c r="F37" s="105"/>
      <x:c r="G37" s="105"/>
      <x:c r="H37" s="105"/>
      <x:c r="I37" s="105"/>
      <x:c r="J37" s="105"/>
    </x:row>
  </x:sheetData>
  <x:mergeCells>
    <x:mergeCell ref="B22:J23"/>
    <x:mergeCell ref="B26:J28"/>
    <x:mergeCell ref="B31:J33"/>
    <x:mergeCell ref="B35:J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Prior Year Profit and Loss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2025 actual monthly results. EUR excluding VAT.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P&amp;L line</x:v>
      </x:c>
      <x:c r="C6" s="8" t="str">
        <x:v>Type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Revenue</x:v>
      </x:c>
      <x:c r="C7" s="27" t="str">
        <x:v>Sales</x:v>
      </x:c>
      <x:c r="D7" s="40" t="n">
        <x:f>'02 Prior Year Sales'!D20</x:f>
        <x:v>44500</x:v>
      </x:c>
      <x:c r="E7" s="40" t="n">
        <x:f>'02 Prior Year Sales'!E20</x:f>
        <x:v>50500</x:v>
      </x:c>
      <x:c r="F7" s="40" t="n">
        <x:f>'02 Prior Year Sales'!F20</x:f>
        <x:v>45500</x:v>
      </x:c>
      <x:c r="G7" s="40" t="n">
        <x:f>'02 Prior Year Sales'!G20</x:f>
        <x:v>63500</x:v>
      </x:c>
      <x:c r="H7" s="40" t="n">
        <x:f>'02 Prior Year Sales'!H20</x:f>
        <x:v>43000</x:v>
      </x:c>
      <x:c r="I7" s="40" t="n">
        <x:f>'02 Prior Year Sales'!I20</x:f>
        <x:v>29000</x:v>
      </x:c>
      <x:c r="J7" s="40" t="n">
        <x:f>'02 Prior Year Sales'!J20</x:f>
        <x:v>15000</x:v>
      </x:c>
      <x:c r="K7" s="40" t="n">
        <x:f>'02 Prior Year Sales'!K20</x:f>
        <x:v>33000</x:v>
      </x:c>
      <x:c r="L7" s="40" t="n">
        <x:f>'02 Prior Year Sales'!L20</x:f>
        <x:v>60500</x:v>
      </x:c>
      <x:c r="M7" s="40" t="n">
        <x:f>'02 Prior Year Sales'!M20</x:f>
        <x:v>65500</x:v>
      </x:c>
      <x:c r="N7" s="40" t="n">
        <x:f>'02 Prior Year Sales'!N20</x:f>
        <x:v>40000</x:v>
      </x:c>
      <x:c r="O7" s="40" t="n">
        <x:f>'02 Prior Year Sales'!O20</x:f>
        <x:v>38500</x:v>
      </x:c>
      <x:c r="P7" s="40" t="n">
        <x:f>SUM(D7:O7)</x:f>
        <x:v>528500</x:v>
      </x:c>
    </x:row>
    <x:row r="8">
      <x:c r="B8" s="27" t="str">
        <x:v>Direct delivery costs</x:v>
      </x:c>
      <x:c r="C8" s="27" t="str">
        <x:v>Variable and program specific</x:v>
      </x:c>
      <x:c r="D8" s="40" t="n">
        <x:f>-D7*0.4</x:f>
        <x:v>-17800</x:v>
      </x:c>
      <x:c r="E8" s="40" t="n">
        <x:f>-E7*0.41</x:f>
        <x:v>-20705</x:v>
      </x:c>
      <x:c r="F8" s="40" t="n">
        <x:f>-F7*0.39</x:f>
        <x:v>-17745</x:v>
      </x:c>
      <x:c r="G8" s="40" t="n">
        <x:f>-G7*0.42</x:f>
        <x:v>-26670</x:v>
      </x:c>
      <x:c r="H8" s="40" t="n">
        <x:f>-H7*0.41</x:f>
        <x:v>-17630</x:v>
      </x:c>
      <x:c r="I8" s="40" t="n">
        <x:f>-I7*0.4</x:f>
        <x:v>-11600</x:v>
      </x:c>
      <x:c r="J8" s="40" t="n">
        <x:f>-J7*0.43</x:f>
        <x:v>-6450</x:v>
      </x:c>
      <x:c r="K8" s="40" t="n">
        <x:f>-K7*0.42</x:f>
        <x:v>-13860</x:v>
      </x:c>
      <x:c r="L8" s="40" t="n">
        <x:f>-L7*0.39</x:f>
        <x:v>-23595</x:v>
      </x:c>
      <x:c r="M8" s="40" t="n">
        <x:f>-M7*0.4</x:f>
        <x:v>-26200</x:v>
      </x:c>
      <x:c r="N8" s="40" t="n">
        <x:f>-N7*0.41</x:f>
        <x:v>-16400</x:v>
      </x:c>
      <x:c r="O8" s="40" t="n">
        <x:f>-O7*0.4</x:f>
        <x:v>-15400</x:v>
      </x:c>
      <x:c r="P8" s="40" t="n">
        <x:f>SUM(D8:O8)</x:f>
        <x:v>-214055</x:v>
      </x:c>
    </x:row>
    <x:row r="9">
      <x:c r="B9" s="59" t="str">
        <x:v>Contribution</x:v>
      </x:c>
      <x:c r="C9" s="59" t="str"/>
      <x:c r="D9" s="60" t="n">
        <x:f>SUM(D7:D8)</x:f>
        <x:v>26700</x:v>
      </x:c>
      <x:c r="E9" s="60" t="n">
        <x:f>SUM(E7:E8)</x:f>
        <x:v>29795</x:v>
      </x:c>
      <x:c r="F9" s="60" t="n">
        <x:f>SUM(F7:F8)</x:f>
        <x:v>27755</x:v>
      </x:c>
      <x:c r="G9" s="60" t="n">
        <x:f>SUM(G7:G8)</x:f>
        <x:v>36830</x:v>
      </x:c>
      <x:c r="H9" s="60" t="n">
        <x:f>SUM(H7:H8)</x:f>
        <x:v>25370</x:v>
      </x:c>
      <x:c r="I9" s="60" t="n">
        <x:f>SUM(I7:I8)</x:f>
        <x:v>17400</x:v>
      </x:c>
      <x:c r="J9" s="60" t="n">
        <x:f>SUM(J7:J8)</x:f>
        <x:v>8550</x:v>
      </x:c>
      <x:c r="K9" s="60" t="n">
        <x:f>SUM(K7:K8)</x:f>
        <x:v>19140</x:v>
      </x:c>
      <x:c r="L9" s="60" t="n">
        <x:f>SUM(L7:L8)</x:f>
        <x:v>36905</x:v>
      </x:c>
      <x:c r="M9" s="60" t="n">
        <x:f>SUM(M7:M8)</x:f>
        <x:v>39300</x:v>
      </x:c>
      <x:c r="N9" s="60" t="n">
        <x:f>SUM(N7:N8)</x:f>
        <x:v>23600</x:v>
      </x:c>
      <x:c r="O9" s="60" t="n">
        <x:f>SUM(O7:O8)</x:f>
        <x:v>23100</x:v>
      </x:c>
      <x:c r="P9" s="60" t="n">
        <x:f>SUM(D9:O9)</x:f>
        <x:v>314445</x:v>
      </x:c>
    </x:row>
    <x:row r="10">
      <x:c r="B10" s="59" t="str">
        <x:v>Contribution margin</x:v>
      </x:c>
      <x:c r="C10" s="59" t="str"/>
      <x:c r="D10" s="61" t="n">
        <x:f>D9/D7</x:f>
        <x:v>0.6</x:v>
      </x:c>
      <x:c r="E10" s="61" t="n">
        <x:f>E9/E7</x:f>
        <x:v>0.59</x:v>
      </x:c>
      <x:c r="F10" s="61" t="n">
        <x:f>F9/F7</x:f>
        <x:v>0.61</x:v>
      </x:c>
      <x:c r="G10" s="61" t="n">
        <x:f>G9/G7</x:f>
        <x:v>0.58</x:v>
      </x:c>
      <x:c r="H10" s="61" t="n">
        <x:f>H9/H7</x:f>
        <x:v>0.59</x:v>
      </x:c>
      <x:c r="I10" s="61" t="n">
        <x:f>I9/I7</x:f>
        <x:v>0.6</x:v>
      </x:c>
      <x:c r="J10" s="61" t="n">
        <x:f>J9/J7</x:f>
        <x:v>0.57</x:v>
      </x:c>
      <x:c r="K10" s="61" t="n">
        <x:f>K9/K7</x:f>
        <x:v>0.58</x:v>
      </x:c>
      <x:c r="L10" s="61" t="n">
        <x:f>L9/L7</x:f>
        <x:v>0.61</x:v>
      </x:c>
      <x:c r="M10" s="61" t="n">
        <x:f>M9/M7</x:f>
        <x:v>0.6</x:v>
      </x:c>
      <x:c r="N10" s="61" t="n">
        <x:f>N9/N7</x:f>
        <x:v>0.59</x:v>
      </x:c>
      <x:c r="O10" s="61" t="n">
        <x:f>O9/O7</x:f>
        <x:v>0.6</x:v>
      </x:c>
      <x:c r="P10" s="61" t="n">
        <x:f>P9/P7</x:f>
        <x:v>0.5949763481551561</x:v>
      </x:c>
    </x:row>
    <x:row r="11">
      <x:c r="B11" s="27" t="str">
        <x:v>Personnel costs</x:v>
      </x:c>
      <x:c r="C11" s="27" t="str">
        <x:v>Operating expense</x:v>
      </x:c>
      <x:c r="D11" s="40" t="n">
        <x:v>-15000</x:v>
      </x:c>
      <x:c r="E11" s="40" t="n">
        <x:v>-15000</x:v>
      </x:c>
      <x:c r="F11" s="40" t="n">
        <x:v>-15000</x:v>
      </x:c>
      <x:c r="G11" s="40" t="n">
        <x:v>-15000</x:v>
      </x:c>
      <x:c r="H11" s="40" t="n">
        <x:v>-15000</x:v>
      </x:c>
      <x:c r="I11" s="40" t="n">
        <x:v>-15000</x:v>
      </x:c>
      <x:c r="J11" s="40" t="n">
        <x:v>-15000</x:v>
      </x:c>
      <x:c r="K11" s="40" t="n">
        <x:v>-15000</x:v>
      </x:c>
      <x:c r="L11" s="40" t="n">
        <x:v>-15000</x:v>
      </x:c>
      <x:c r="M11" s="40" t="n">
        <x:v>-15000</x:v>
      </x:c>
      <x:c r="N11" s="40" t="n">
        <x:v>-15000</x:v>
      </x:c>
      <x:c r="O11" s="40" t="n">
        <x:v>-15000</x:v>
      </x:c>
      <x:c r="P11" s="40" t="n">
        <x:f>SUM(D11:O11)</x:f>
        <x:v>-180000</x:v>
      </x:c>
    </x:row>
    <x:row r="12">
      <x:c r="B12" s="27" t="str">
        <x:v>Marketing</x:v>
      </x:c>
      <x:c r="C12" s="27" t="str">
        <x:v>Operating expense</x:v>
      </x:c>
      <x:c r="D12" s="40" t="n">
        <x:v>-6000</x:v>
      </x:c>
      <x:c r="E12" s="40" t="n">
        <x:v>-5000</x:v>
      </x:c>
      <x:c r="F12" s="40" t="n">
        <x:v>-6500</x:v>
      </x:c>
      <x:c r="G12" s="40" t="n">
        <x:v>-6500</x:v>
      </x:c>
      <x:c r="H12" s="40" t="n">
        <x:v>-5000</x:v>
      </x:c>
      <x:c r="I12" s="40" t="n">
        <x:v>-4000</x:v>
      </x:c>
      <x:c r="J12" s="40" t="n">
        <x:v>-2500</x:v>
      </x:c>
      <x:c r="K12" s="40" t="n">
        <x:v>-3500</x:v>
      </x:c>
      <x:c r="L12" s="40" t="n">
        <x:v>-7500</x:v>
      </x:c>
      <x:c r="M12" s="40" t="n">
        <x:v>-8000</x:v>
      </x:c>
      <x:c r="N12" s="40" t="n">
        <x:v>-6500</x:v>
      </x:c>
      <x:c r="O12" s="40" t="n">
        <x:v>-4500</x:v>
      </x:c>
      <x:c r="P12" s="40" t="n">
        <x:f>SUM(D12:O12)</x:f>
        <x:v>-65500</x:v>
      </x:c>
    </x:row>
    <x:row r="13">
      <x:c r="B13" s="27" t="str">
        <x:v>Office and administration</x:v>
      </x:c>
      <x:c r="C13" s="27" t="str">
        <x:v>Operating expense</x:v>
      </x:c>
      <x:c r="D13" s="40" t="n">
        <x:v>-6000</x:v>
      </x:c>
      <x:c r="E13" s="40" t="n">
        <x:v>-6000</x:v>
      </x:c>
      <x:c r="F13" s="40" t="n">
        <x:v>-6000</x:v>
      </x:c>
      <x:c r="G13" s="40" t="n">
        <x:v>-6000</x:v>
      </x:c>
      <x:c r="H13" s="40" t="n">
        <x:v>-6000</x:v>
      </x:c>
      <x:c r="I13" s="40" t="n">
        <x:v>-6000</x:v>
      </x:c>
      <x:c r="J13" s="40" t="n">
        <x:v>-6000</x:v>
      </x:c>
      <x:c r="K13" s="40" t="n">
        <x:v>-6000</x:v>
      </x:c>
      <x:c r="L13" s="40" t="n">
        <x:v>-6000</x:v>
      </x:c>
      <x:c r="M13" s="40" t="n">
        <x:v>-6000</x:v>
      </x:c>
      <x:c r="N13" s="40" t="n">
        <x:v>-6000</x:v>
      </x:c>
      <x:c r="O13" s="40" t="n">
        <x:v>-6000</x:v>
      </x:c>
      <x:c r="P13" s="40" t="n">
        <x:f>SUM(D13:O13)</x:f>
        <x:v>-72000</x:v>
      </x:c>
    </x:row>
    <x:row r="14">
      <x:c r="B14" s="27" t="str">
        <x:v>Depreciation and interest</x:v>
      </x:c>
      <x:c r="C14" s="27" t="str">
        <x:v>Operating expense</x:v>
      </x:c>
      <x:c r="D14" s="40" t="n">
        <x:v>-1050</x:v>
      </x:c>
      <x:c r="E14" s="40" t="n">
        <x:v>-1050</x:v>
      </x:c>
      <x:c r="F14" s="40" t="n">
        <x:v>-1050</x:v>
      </x:c>
      <x:c r="G14" s="40" t="n">
        <x:v>-1050</x:v>
      </x:c>
      <x:c r="H14" s="40" t="n">
        <x:v>-1050</x:v>
      </x:c>
      <x:c r="I14" s="40" t="n">
        <x:v>-1050</x:v>
      </x:c>
      <x:c r="J14" s="40" t="n">
        <x:v>-1050</x:v>
      </x:c>
      <x:c r="K14" s="40" t="n">
        <x:v>-1050</x:v>
      </x:c>
      <x:c r="L14" s="40" t="n">
        <x:v>-1050</x:v>
      </x:c>
      <x:c r="M14" s="40" t="n">
        <x:v>-1050</x:v>
      </x:c>
      <x:c r="N14" s="40" t="n">
        <x:v>-1050</x:v>
      </x:c>
      <x:c r="O14" s="40" t="n">
        <x:v>-1050</x:v>
      </x:c>
      <x:c r="P14" s="40" t="n">
        <x:f>SUM(D14:O14)</x:f>
        <x:v>-12600</x:v>
      </x:c>
    </x:row>
    <x:row r="15">
      <x:c r="B15" s="62" t="str">
        <x:v>Operating profit</x:v>
      </x:c>
      <x:c r="C15" s="62" t="str"/>
      <x:c r="D15" s="63" t="n">
        <x:f>SUM(D9,D11:D14)</x:f>
        <x:v>-1350</x:v>
      </x:c>
      <x:c r="E15" s="63" t="n">
        <x:f>SUM(E9,E11:E14)</x:f>
        <x:v>2745</x:v>
      </x:c>
      <x:c r="F15" s="63" t="n">
        <x:f>SUM(F9,F11:F14)</x:f>
        <x:v>-795</x:v>
      </x:c>
      <x:c r="G15" s="63" t="n">
        <x:f>SUM(G9,G11:G14)</x:f>
        <x:v>8280</x:v>
      </x:c>
      <x:c r="H15" s="63" t="n">
        <x:f>SUM(H9,H11:H14)</x:f>
        <x:v>-1680</x:v>
      </x:c>
      <x:c r="I15" s="63" t="n">
        <x:f>SUM(I9,I11:I14)</x:f>
        <x:v>-8650</x:v>
      </x:c>
      <x:c r="J15" s="63" t="n">
        <x:f>SUM(J9,J11:J14)</x:f>
        <x:v>-16000</x:v>
      </x:c>
      <x:c r="K15" s="63" t="n">
        <x:f>SUM(K9,K11:K14)</x:f>
        <x:v>-6410</x:v>
      </x:c>
      <x:c r="L15" s="63" t="n">
        <x:f>SUM(L9,L11:L14)</x:f>
        <x:v>7355</x:v>
      </x:c>
      <x:c r="M15" s="63" t="n">
        <x:f>SUM(M9,M11:M14)</x:f>
        <x:v>9250</x:v>
      </x:c>
      <x:c r="N15" s="63" t="n">
        <x:f>SUM(N9,N11:N14)</x:f>
        <x:v>-4950</x:v>
      </x:c>
      <x:c r="O15" s="63" t="n">
        <x:f>SUM(O9,O11:O14)</x:f>
        <x:v>-3450</x:v>
      </x:c>
      <x:c r="P15" s="63" t="n">
        <x:f>SUM(D15:O15)</x:f>
        <x:v>-15655</x:v>
      </x:c>
    </x:row>
    <x:row r="16">
      <x:c r="B16" s="62" t="str">
        <x:v>Operating margin</x:v>
      </x:c>
      <x:c r="C16" s="62" t="str"/>
      <x:c r="D16" s="64" t="n">
        <x:f>D15/D7</x:f>
        <x:v>-0.030337078651685393</x:v>
      </x:c>
      <x:c r="E16" s="64" t="n">
        <x:f>E15/E7</x:f>
        <x:v>0.054356435643564356</x:v>
      </x:c>
      <x:c r="F16" s="64" t="n">
        <x:f>F15/F7</x:f>
        <x:v>-0.017472527472527474</x:v>
      </x:c>
      <x:c r="G16" s="64" t="n">
        <x:f>G15/G7</x:f>
        <x:v>0.13039370078740156</x:v>
      </x:c>
      <x:c r="H16" s="64" t="n">
        <x:f>H15/H7</x:f>
        <x:v>-0.03906976744186046</x:v>
      </x:c>
      <x:c r="I16" s="64" t="n">
        <x:f>I15/I7</x:f>
        <x:v>-0.2982758620689655</x:v>
      </x:c>
      <x:c r="J16" s="64" t="n">
        <x:f>J15/J7</x:f>
        <x:v>-1.0666666666666667</x:v>
      </x:c>
      <x:c r="K16" s="64" t="n">
        <x:f>K15/K7</x:f>
        <x:v>-0.19424242424242424</x:v>
      </x:c>
      <x:c r="L16" s="64" t="n">
        <x:f>L15/L7</x:f>
        <x:v>0.1215702479338843</x:v>
      </x:c>
      <x:c r="M16" s="64" t="n">
        <x:f>M15/M7</x:f>
        <x:v>0.14122137404580154</x:v>
      </x:c>
      <x:c r="N16" s="64" t="n">
        <x:f>N15/N7</x:f>
        <x:v>-0.12375</x:v>
      </x:c>
      <x:c r="O16" s="64" t="n">
        <x:f>O15/O7</x:f>
        <x:v>-0.08961038961038961</x:v>
      </x:c>
      <x:c r="P16" s="64" t="n">
        <x:f>P15/P7</x:f>
        <x:v>-0.029621570482497635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Prior Year Sales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2025 actual revenue by salesperson and product. EUR excluding VAT.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Salesperson</x:v>
      </x:c>
      <x:c r="C6" s="8" t="str">
        <x:v>Product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Anna Power</x:v>
      </x:c>
      <x:c r="C7" s="27" t="str">
        <x:v>Corporate management training</x:v>
      </x:c>
      <x:c r="D7" s="40" t="n">
        <x:v>12000</x:v>
      </x:c>
      <x:c r="E7" s="40" t="n">
        <x:v>7500</x:v>
      </x:c>
      <x:c r="F7" s="40" t="n">
        <x:v>10000</x:v>
      </x:c>
      <x:c r="G7" s="40" t="n">
        <x:v>12500</x:v>
      </x:c>
      <x:c r="H7" s="40" t="n">
        <x:v>7500</x:v>
      </x:c>
      <x:c r="I7" s="40" t="n">
        <x:v>5000</x:v>
      </x:c>
      <x:c r="J7" s="40" t="n">
        <x:v>2500</x:v>
      </x:c>
      <x:c r="K7" s="40" t="n">
        <x:v>5000</x:v>
      </x:c>
      <x:c r="L7" s="40" t="n">
        <x:v>12500</x:v>
      </x:c>
      <x:c r="M7" s="40" t="n">
        <x:v>15000</x:v>
      </x:c>
      <x:c r="N7" s="40" t="n">
        <x:v>5000</x:v>
      </x:c>
      <x:c r="O7" s="40" t="n">
        <x:v>7500</x:v>
      </x:c>
      <x:c r="P7" s="40" t="n">
        <x:f>SUM(D7:O7)</x:f>
        <x:v>102000</x:v>
      </x:c>
    </x:row>
    <x:row r="8">
      <x:c r="B8" s="27" t="str">
        <x:v>Anna Power</x:v>
      </x:c>
      <x:c r="C8" s="27" t="str">
        <x:v>Corporate sales training</x:v>
      </x:c>
      <x:c r="D8" s="40" t="n">
        <x:v>2500</x:v>
      </x:c>
      <x:c r="E8" s="40" t="n">
        <x:v>2500</x:v>
      </x:c>
      <x:c r="F8" s="40" t="n">
        <x:v>5000</x:v>
      </x:c>
      <x:c r="G8" s="40" t="n">
        <x:v>5000</x:v>
      </x:c>
      <x:c r="H8" s="40" t="n">
        <x:v>2500</x:v>
      </x:c>
      <x:c r="I8" s="40" t="n">
        <x:v>2500</x:v>
      </x:c>
      <x:c r="J8" s="40" t="n">
        <x:v>0</x:v>
      </x:c>
      <x:c r="K8" s="40" t="n">
        <x:v>2500</x:v>
      </x:c>
      <x:c r="L8" s="40" t="n">
        <x:v>2500</x:v>
      </x:c>
      <x:c r="M8" s="40" t="n">
        <x:v>5000</x:v>
      </x:c>
      <x:c r="N8" s="40" t="n">
        <x:v>2500</x:v>
      </x:c>
      <x:c r="O8" s="40" t="n">
        <x:v>2500</x:v>
      </x:c>
      <x:c r="P8" s="40" t="n">
        <x:f>SUM(D8:O8)</x:f>
        <x:v>35000</x:v>
      </x:c>
    </x:row>
    <x:row r="9">
      <x:c r="B9" s="27" t="str">
        <x:v>Anna Power</x:v>
      </x:c>
      <x:c r="C9" s="27" t="str">
        <x:v>Open program seats</x:v>
      </x:c>
      <x:c r="D9" s="40" t="n">
        <x:v>1000</x:v>
      </x:c>
      <x:c r="E9" s="40" t="n">
        <x:v>1500</x:v>
      </x:c>
      <x:c r="F9" s="40" t="n">
        <x:v>1500</x:v>
      </x:c>
      <x:c r="G9" s="40" t="n">
        <x:v>2000</x:v>
      </x:c>
      <x:c r="H9" s="40" t="n">
        <x:v>1500</x:v>
      </x:c>
      <x:c r="I9" s="40" t="n">
        <x:v>1000</x:v>
      </x:c>
      <x:c r="J9" s="40" t="n">
        <x:v>500</x:v>
      </x:c>
      <x:c r="K9" s="40" t="n">
        <x:v>1000</x:v>
      </x:c>
      <x:c r="L9" s="40" t="n">
        <x:v>2000</x:v>
      </x:c>
      <x:c r="M9" s="40" t="n">
        <x:v>2500</x:v>
      </x:c>
      <x:c r="N9" s="40" t="n">
        <x:v>1500</x:v>
      </x:c>
      <x:c r="O9" s="40" t="n">
        <x:v>1500</x:v>
      </x:c>
      <x:c r="P9" s="40" t="n">
        <x:f>SUM(D9:O9)</x:f>
        <x:v>17500</x:v>
      </x:c>
    </x:row>
    <x:row r="10">
      <x:c r="B10" s="27" t="str">
        <x:v>Mark Pressure</x:v>
      </x:c>
      <x:c r="C10" s="27" t="str">
        <x:v>Corporate management training</x:v>
      </x:c>
      <x:c r="D10" s="40" t="n">
        <x:v>2500</x:v>
      </x:c>
      <x:c r="E10" s="40" t="n">
        <x:v>2500</x:v>
      </x:c>
      <x:c r="F10" s="40" t="n">
        <x:v>2500</x:v>
      </x:c>
      <x:c r="G10" s="40" t="n">
        <x:v>5000</x:v>
      </x:c>
      <x:c r="H10" s="40" t="n">
        <x:v>2500</x:v>
      </x:c>
      <x:c r="I10" s="40" t="n">
        <x:v>2500</x:v>
      </x:c>
      <x:c r="J10" s="40" t="n">
        <x:v>2500</x:v>
      </x:c>
      <x:c r="K10" s="40" t="n">
        <x:v>2500</x:v>
      </x:c>
      <x:c r="L10" s="40" t="n">
        <x:v>5000</x:v>
      </x:c>
      <x:c r="M10" s="40" t="n">
        <x:v>2500</x:v>
      </x:c>
      <x:c r="N10" s="40" t="n">
        <x:v>2500</x:v>
      </x:c>
      <x:c r="O10" s="40" t="n">
        <x:v>2500</x:v>
      </x:c>
      <x:c r="P10" s="40" t="n">
        <x:f>SUM(D10:O10)</x:f>
        <x:v>35000</x:v>
      </x:c>
    </x:row>
    <x:row r="11">
      <x:c r="B11" s="27" t="str">
        <x:v>Mark Pressure</x:v>
      </x:c>
      <x:c r="C11" s="27" t="str">
        <x:v>Corporate sales training</x:v>
      </x:c>
      <x:c r="D11" s="40" t="n">
        <x:v>10000</x:v>
      </x:c>
      <x:c r="E11" s="40" t="n">
        <x:v>12500</x:v>
      </x:c>
      <x:c r="F11" s="40" t="n">
        <x:v>7500</x:v>
      </x:c>
      <x:c r="G11" s="40" t="n">
        <x:v>12500</x:v>
      </x:c>
      <x:c r="H11" s="40" t="n">
        <x:v>10000</x:v>
      </x:c>
      <x:c r="I11" s="40" t="n">
        <x:v>7500</x:v>
      </x:c>
      <x:c r="J11" s="40" t="n">
        <x:v>5000</x:v>
      </x:c>
      <x:c r="K11" s="40" t="n">
        <x:v>7500</x:v>
      </x:c>
      <x:c r="L11" s="40" t="n">
        <x:v>12500</x:v>
      </x:c>
      <x:c r="M11" s="40" t="n">
        <x:v>12500</x:v>
      </x:c>
      <x:c r="N11" s="40" t="n">
        <x:v>10000</x:v>
      </x:c>
      <x:c r="O11" s="40" t="n">
        <x:v>7500</x:v>
      </x:c>
      <x:c r="P11" s="40" t="n">
        <x:f>SUM(D11:O11)</x:f>
        <x:v>115000</x:v>
      </x:c>
    </x:row>
    <x:row r="12">
      <x:c r="B12" s="27" t="str">
        <x:v>Mark Pressure</x:v>
      </x:c>
      <x:c r="C12" s="27" t="str">
        <x:v>Open program seats</x:v>
      </x:c>
      <x:c r="D12" s="40" t="n">
        <x:v>1500</x:v>
      </x:c>
      <x:c r="E12" s="40" t="n">
        <x:v>2000</x:v>
      </x:c>
      <x:c r="F12" s="40" t="n">
        <x:v>1500</x:v>
      </x:c>
      <x:c r="G12" s="40" t="n">
        <x:v>2500</x:v>
      </x:c>
      <x:c r="H12" s="40" t="n">
        <x:v>2000</x:v>
      </x:c>
      <x:c r="I12" s="40" t="n">
        <x:v>1500</x:v>
      </x:c>
      <x:c r="J12" s="40" t="n">
        <x:v>500</x:v>
      </x:c>
      <x:c r="K12" s="40" t="n">
        <x:v>1000</x:v>
      </x:c>
      <x:c r="L12" s="40" t="n">
        <x:v>2500</x:v>
      </x:c>
      <x:c r="M12" s="40" t="n">
        <x:v>3000</x:v>
      </x:c>
      <x:c r="N12" s="40" t="n">
        <x:v>2000</x:v>
      </x:c>
      <x:c r="O12" s="40" t="n">
        <x:v>1500</x:v>
      </x:c>
      <x:c r="P12" s="40" t="n">
        <x:f>SUM(D12:O12)</x:f>
        <x:v>21500</x:v>
      </x:c>
    </x:row>
    <x:row r="13">
      <x:c r="B13" s="27" t="str">
        <x:v>Linda Smile</x:v>
      </x:c>
      <x:c r="C13" s="27" t="str">
        <x:v>Corporate management training</x:v>
      </x:c>
      <x:c r="D13" s="40" t="n">
        <x:v>2500</x:v>
      </x:c>
      <x:c r="E13" s="40" t="n">
        <x:v>5000</x:v>
      </x:c>
      <x:c r="F13" s="40" t="n">
        <x:v>2500</x:v>
      </x:c>
      <x:c r="G13" s="40" t="n">
        <x:v>5000</x:v>
      </x:c>
      <x:c r="H13" s="40" t="n">
        <x:v>2500</x:v>
      </x:c>
      <x:c r="I13" s="40" t="n">
        <x:v>2500</x:v>
      </x:c>
      <x:c r="J13" s="40" t="n">
        <x:v>0</x:v>
      </x:c>
      <x:c r="K13" s="40" t="n">
        <x:v>2500</x:v>
      </x:c>
      <x:c r="L13" s="40" t="n">
        <x:v>5000</x:v>
      </x:c>
      <x:c r="M13" s="40" t="n">
        <x:v>5000</x:v>
      </x:c>
      <x:c r="N13" s="40" t="n">
        <x:v>2500</x:v>
      </x:c>
      <x:c r="O13" s="40" t="n">
        <x:v>2500</x:v>
      </x:c>
      <x:c r="P13" s="40" t="n">
        <x:f>SUM(D13:O13)</x:f>
        <x:v>37500</x:v>
      </x:c>
    </x:row>
    <x:row r="14">
      <x:c r="B14" s="27" t="str">
        <x:v>Linda Smile</x:v>
      </x:c>
      <x:c r="C14" s="27" t="str">
        <x:v>Corporate sales training</x:v>
      </x:c>
      <x:c r="D14" s="40" t="n">
        <x:v>2500</x:v>
      </x:c>
      <x:c r="E14" s="40" t="n">
        <x:v>2500</x:v>
      </x:c>
      <x:c r="F14" s="40" t="n">
        <x:v>5000</x:v>
      </x:c>
      <x:c r="G14" s="40" t="n">
        <x:v>2500</x:v>
      </x:c>
      <x:c r="H14" s="40" t="n">
        <x:v>2500</x:v>
      </x:c>
      <x:c r="I14" s="40" t="n">
        <x:v>0</x:v>
      </x:c>
      <x:c r="J14" s="40" t="n">
        <x:v>2500</x:v>
      </x:c>
      <x:c r="K14" s="40" t="n">
        <x:v>2500</x:v>
      </x:c>
      <x:c r="L14" s="40" t="n">
        <x:v>2500</x:v>
      </x:c>
      <x:c r="M14" s="40" t="n">
        <x:v>5000</x:v>
      </x:c>
      <x:c r="N14" s="40" t="n">
        <x:v>2500</x:v>
      </x:c>
      <x:c r="O14" s="40" t="n">
        <x:v>2500</x:v>
      </x:c>
      <x:c r="P14" s="40" t="n">
        <x:f>SUM(D14:O14)</x:f>
        <x:v>32500</x:v>
      </x:c>
    </x:row>
    <x:row r="15">
      <x:c r="B15" s="27" t="str">
        <x:v>Linda Smile</x:v>
      </x:c>
      <x:c r="C15" s="27" t="str">
        <x:v>Open program seats</x:v>
      </x:c>
      <x:c r="D15" s="40" t="n">
        <x:v>3000</x:v>
      </x:c>
      <x:c r="E15" s="40" t="n">
        <x:v>4500</x:v>
      </x:c>
      <x:c r="F15" s="40" t="n">
        <x:v>3000</x:v>
      </x:c>
      <x:c r="G15" s="40" t="n">
        <x:v>6000</x:v>
      </x:c>
      <x:c r="H15" s="40" t="n">
        <x:v>4500</x:v>
      </x:c>
      <x:c r="I15" s="40" t="n">
        <x:v>2500</x:v>
      </x:c>
      <x:c r="J15" s="40" t="n">
        <x:v>1000</x:v>
      </x:c>
      <x:c r="K15" s="40" t="n">
        <x:v>2000</x:v>
      </x:c>
      <x:c r="L15" s="40" t="n">
        <x:v>5500</x:v>
      </x:c>
      <x:c r="M15" s="40" t="n">
        <x:v>6500</x:v>
      </x:c>
      <x:c r="N15" s="40" t="n">
        <x:v>4000</x:v>
      </x:c>
      <x:c r="O15" s="40" t="n">
        <x:v>3500</x:v>
      </x:c>
      <x:c r="P15" s="40" t="n">
        <x:f>SUM(D15:O15)</x:f>
        <x:v>46000</x:v>
      </x:c>
    </x:row>
    <x:row r="16">
      <x:c r="B16" s="27" t="str">
        <x:v>Peter Late</x:v>
      </x:c>
      <x:c r="C16" s="27" t="str">
        <x:v>Corporate management training</x:v>
      </x:c>
      <x:c r="D16" s="40" t="n">
        <x:v>2500</x:v>
      </x:c>
      <x:c r="E16" s="40" t="n">
        <x:v>2500</x:v>
      </x:c>
      <x:c r="F16" s="40" t="n">
        <x:v>2500</x:v>
      </x:c>
      <x:c r="G16" s="40" t="n">
        <x:v>2500</x:v>
      </x:c>
      <x:c r="H16" s="40" t="n">
        <x:v>2500</x:v>
      </x:c>
      <x:c r="I16" s="40" t="n">
        <x:v>0</x:v>
      </x:c>
      <x:c r="J16" s="40" t="n">
        <x:v>0</x:v>
      </x:c>
      <x:c r="K16" s="40" t="n">
        <x:v>2500</x:v>
      </x:c>
      <x:c r="L16" s="40" t="n">
        <x:v>2500</x:v>
      </x:c>
      <x:c r="M16" s="40" t="n">
        <x:v>2500</x:v>
      </x:c>
      <x:c r="N16" s="40" t="n">
        <x:v>2500</x:v>
      </x:c>
      <x:c r="O16" s="40" t="n">
        <x:v>2500</x:v>
      </x:c>
      <x:c r="P16" s="40" t="n">
        <x:f>SUM(D16:O16)</x:f>
        <x:v>25000</x:v>
      </x:c>
    </x:row>
    <x:row r="17">
      <x:c r="B17" s="27" t="str">
        <x:v>Peter Late</x:v>
      </x:c>
      <x:c r="C17" s="27" t="str">
        <x:v>Corporate sales training</x:v>
      </x:c>
      <x:c r="D17" s="40" t="n">
        <x:v>2500</x:v>
      </x:c>
      <x:c r="E17" s="40" t="n">
        <x:v>5000</x:v>
      </x:c>
      <x:c r="F17" s="40" t="n">
        <x:v>2500</x:v>
      </x:c>
      <x:c r="G17" s="40" t="n">
        <x:v>5000</x:v>
      </x:c>
      <x:c r="H17" s="40" t="n">
        <x:v>2500</x:v>
      </x:c>
      <x:c r="I17" s="40" t="n">
        <x:v>2500</x:v>
      </x:c>
      <x:c r="J17" s="40" t="n">
        <x:v>0</x:v>
      </x:c>
      <x:c r="K17" s="40" t="n">
        <x:v>2500</x:v>
      </x:c>
      <x:c r="L17" s="40" t="n">
        <x:v>5000</x:v>
      </x:c>
      <x:c r="M17" s="40" t="n">
        <x:v>2500</x:v>
      </x:c>
      <x:c r="N17" s="40" t="n">
        <x:v>2500</x:v>
      </x:c>
      <x:c r="O17" s="40" t="n">
        <x:v>2500</x:v>
      </x:c>
      <x:c r="P17" s="40" t="n">
        <x:f>SUM(D17:O17)</x:f>
        <x:v>35000</x:v>
      </x:c>
    </x:row>
    <x:row r="18">
      <x:c r="B18" s="27" t="str">
        <x:v>Peter Late</x:v>
      </x:c>
      <x:c r="C18" s="27" t="str">
        <x:v>Open program seats</x:v>
      </x:c>
      <x:c r="D18" s="40" t="n">
        <x:v>2000</x:v>
      </x:c>
      <x:c r="E18" s="40" t="n">
        <x:v>2500</x:v>
      </x:c>
      <x:c r="F18" s="40" t="n">
        <x:v>2000</x:v>
      </x:c>
      <x:c r="G18" s="40" t="n">
        <x:v>3000</x:v>
      </x:c>
      <x:c r="H18" s="40" t="n">
        <x:v>2500</x:v>
      </x:c>
      <x:c r="I18" s="40" t="n">
        <x:v>1500</x:v>
      </x:c>
      <x:c r="J18" s="40" t="n">
        <x:v>500</x:v>
      </x:c>
      <x:c r="K18" s="40" t="n">
        <x:v>1500</x:v>
      </x:c>
      <x:c r="L18" s="40" t="n">
        <x:v>3000</x:v>
      </x:c>
      <x:c r="M18" s="40" t="n">
        <x:v>3500</x:v>
      </x:c>
      <x:c r="N18" s="40" t="n">
        <x:v>2500</x:v>
      </x:c>
      <x:c r="O18" s="40" t="n">
        <x:v>2000</x:v>
      </x:c>
      <x:c r="P18" s="40" t="n">
        <x:f>SUM(D18:O18)</x:f>
        <x:v>26500</x:v>
      </x:c>
    </x:row>
    <x:row r="19">
      <x:c r="B19" s="27"/>
      <x:c r="C19" s="27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</x:row>
    <x:row r="20">
      <x:c r="B20" s="41" t="str">
        <x:v>TOTAL</x:v>
      </x:c>
      <x:c r="C20" s="41" t="str">
        <x:v>All products</x:v>
      </x:c>
      <x:c r="D20" s="42" t="n">
        <x:f>SUM(D7:D18)</x:f>
        <x:v>44500</x:v>
      </x:c>
      <x:c r="E20" s="42" t="n">
        <x:f>SUM(E7:E18)</x:f>
        <x:v>50500</x:v>
      </x:c>
      <x:c r="F20" s="42" t="n">
        <x:f>SUM(F7:F18)</x:f>
        <x:v>45500</x:v>
      </x:c>
      <x:c r="G20" s="42" t="n">
        <x:f>SUM(G7:G18)</x:f>
        <x:v>63500</x:v>
      </x:c>
      <x:c r="H20" s="42" t="n">
        <x:f>SUM(H7:H18)</x:f>
        <x:v>43000</x:v>
      </x:c>
      <x:c r="I20" s="42" t="n">
        <x:f>SUM(I7:I18)</x:f>
        <x:v>29000</x:v>
      </x:c>
      <x:c r="J20" s="42" t="n">
        <x:f>SUM(J7:J18)</x:f>
        <x:v>15000</x:v>
      </x:c>
      <x:c r="K20" s="42" t="n">
        <x:f>SUM(K7:K18)</x:f>
        <x:v>33000</x:v>
      </x:c>
      <x:c r="L20" s="42" t="n">
        <x:f>SUM(L7:L18)</x:f>
        <x:v>60500</x:v>
      </x:c>
      <x:c r="M20" s="42" t="n">
        <x:f>SUM(M7:M18)</x:f>
        <x:v>65500</x:v>
      </x:c>
      <x:c r="N20" s="42" t="n">
        <x:f>SUM(N7:N18)</x:f>
        <x:v>40000</x:v>
      </x:c>
      <x:c r="O20" s="42" t="n">
        <x:f>SUM(O7:O18)</x:f>
        <x:v>38500</x:v>
      </x:c>
      <x:c r="P20" s="42" t="n">
        <x:f>SUM(P7:P18)</x:f>
        <x:v>528500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Prior Year Marketing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2025 actual activities and commercial results.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Metric</x:v>
      </x:c>
      <x:c r="C6" s="8" t="str">
        <x:v>Unit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Marketing spend</x:v>
      </x:c>
      <x:c r="C7" s="27" t="str">
        <x:v>EUR</x:v>
      </x:c>
      <x:c r="D7" s="40" t="n">
        <x:v>6000</x:v>
      </x:c>
      <x:c r="E7" s="40" t="n">
        <x:v>5000</x:v>
      </x:c>
      <x:c r="F7" s="40" t="n">
        <x:v>6500</x:v>
      </x:c>
      <x:c r="G7" s="40" t="n">
        <x:v>6500</x:v>
      </x:c>
      <x:c r="H7" s="40" t="n">
        <x:v>5000</x:v>
      </x:c>
      <x:c r="I7" s="40" t="n">
        <x:v>4000</x:v>
      </x:c>
      <x:c r="J7" s="40" t="n">
        <x:v>2500</x:v>
      </x:c>
      <x:c r="K7" s="40" t="n">
        <x:v>3500</x:v>
      </x:c>
      <x:c r="L7" s="40" t="n">
        <x:v>7500</x:v>
      </x:c>
      <x:c r="M7" s="40" t="n">
        <x:v>8000</x:v>
      </x:c>
      <x:c r="N7" s="40" t="n">
        <x:v>6500</x:v>
      </x:c>
      <x:c r="O7" s="40" t="n">
        <x:v>4500</x:v>
      </x:c>
      <x:c r="P7" s="40" t="n">
        <x:f>SUM(D7:O7)</x:f>
        <x:v>65500</x:v>
      </x:c>
    </x:row>
    <x:row r="8">
      <x:c r="B8" s="27" t="str">
        <x:v>Campaigns launched</x:v>
      </x:c>
      <x:c r="C8" s="27" t="str">
        <x:v>Count</x:v>
      </x:c>
      <x:c r="D8" s="68" t="n">
        <x:v>3</x:v>
      </x:c>
      <x:c r="E8" s="68" t="n">
        <x:v>2</x:v>
      </x:c>
      <x:c r="F8" s="68" t="n">
        <x:v>3</x:v>
      </x:c>
      <x:c r="G8" s="68" t="n">
        <x:v>3</x:v>
      </x:c>
      <x:c r="H8" s="68" t="n">
        <x:v>2</x:v>
      </x:c>
      <x:c r="I8" s="68" t="n">
        <x:v>2</x:v>
      </x:c>
      <x:c r="J8" s="68" t="n">
        <x:v>1</x:v>
      </x:c>
      <x:c r="K8" s="68" t="n">
        <x:v>2</x:v>
      </x:c>
      <x:c r="L8" s="68" t="n">
        <x:v>4</x:v>
      </x:c>
      <x:c r="M8" s="68" t="n">
        <x:v>4</x:v>
      </x:c>
      <x:c r="N8" s="68" t="n">
        <x:v>3</x:v>
      </x:c>
      <x:c r="O8" s="68" t="n">
        <x:v>2</x:v>
      </x:c>
      <x:c r="P8" s="68" t="n">
        <x:f>SUM(D8:O8)</x:f>
        <x:v>31</x:v>
      </x:c>
    </x:row>
    <x:row r="9">
      <x:c r="B9" s="27" t="str">
        <x:v>Qualified corporate leads</x:v>
      </x:c>
      <x:c r="C9" s="27" t="str">
        <x:v>Count</x:v>
      </x:c>
      <x:c r="D9" s="68" t="n">
        <x:v>24</x:v>
      </x:c>
      <x:c r="E9" s="68" t="n">
        <x:v>20</x:v>
      </x:c>
      <x:c r="F9" s="68" t="n">
        <x:v>27</x:v>
      </x:c>
      <x:c r="G9" s="68" t="n">
        <x:v>29</x:v>
      </x:c>
      <x:c r="H9" s="68" t="n">
        <x:v>23</x:v>
      </x:c>
      <x:c r="I9" s="68" t="n">
        <x:v>18</x:v>
      </x:c>
      <x:c r="J9" s="68" t="n">
        <x:v>10</x:v>
      </x:c>
      <x:c r="K9" s="68" t="n">
        <x:v>15</x:v>
      </x:c>
      <x:c r="L9" s="68" t="n">
        <x:v>34</x:v>
      </x:c>
      <x:c r="M9" s="68" t="n">
        <x:v>38</x:v>
      </x:c>
      <x:c r="N9" s="68" t="n">
        <x:v>30</x:v>
      </x:c>
      <x:c r="O9" s="68" t="n">
        <x:v>20</x:v>
      </x:c>
      <x:c r="P9" s="68" t="n">
        <x:f>SUM(D9:O9)</x:f>
        <x:v>288</x:v>
      </x:c>
    </x:row>
    <x:row r="10">
      <x:c r="B10" s="27" t="str">
        <x:v>Corporate deals won</x:v>
      </x:c>
      <x:c r="C10" s="27" t="str">
        <x:v>Count</x:v>
      </x:c>
      <x:c r="D10" s="68" t="n">
        <x:v>5</x:v>
      </x:c>
      <x:c r="E10" s="68" t="n">
        <x:v>4</x:v>
      </x:c>
      <x:c r="F10" s="68" t="n">
        <x:v>5</x:v>
      </x:c>
      <x:c r="G10" s="68" t="n">
        <x:v>6</x:v>
      </x:c>
      <x:c r="H10" s="68" t="n">
        <x:v>4</x:v>
      </x:c>
      <x:c r="I10" s="68" t="n">
        <x:v>4</x:v>
      </x:c>
      <x:c r="J10" s="68" t="n">
        <x:v>2</x:v>
      </x:c>
      <x:c r="K10" s="68" t="n">
        <x:v>3</x:v>
      </x:c>
      <x:c r="L10" s="68" t="n">
        <x:v>7</x:v>
      </x:c>
      <x:c r="M10" s="68" t="n">
        <x:v>8</x:v>
      </x:c>
      <x:c r="N10" s="68" t="n">
        <x:v>6</x:v>
      </x:c>
      <x:c r="O10" s="68" t="n">
        <x:v>4</x:v>
      </x:c>
      <x:c r="P10" s="68" t="n">
        <x:f>SUM(D10:O10)</x:f>
        <x:v>58</x:v>
      </x:c>
    </x:row>
    <x:row r="11">
      <x:c r="B11" s="27" t="str">
        <x:v>Open program enquiries</x:v>
      </x:c>
      <x:c r="C11" s="27" t="str">
        <x:v>Count</x:v>
      </x:c>
      <x:c r="D11" s="68" t="n">
        <x:v>65</x:v>
      </x:c>
      <x:c r="E11" s="68" t="n">
        <x:v>58</x:v>
      </x:c>
      <x:c r="F11" s="68" t="n">
        <x:v>72</x:v>
      </x:c>
      <x:c r="G11" s="68" t="n">
        <x:v>80</x:v>
      </x:c>
      <x:c r="H11" s="68" t="n">
        <x:v>69</x:v>
      </x:c>
      <x:c r="I11" s="68" t="n">
        <x:v>54</x:v>
      </x:c>
      <x:c r="J11" s="68" t="n">
        <x:v>28</x:v>
      </x:c>
      <x:c r="K11" s="68" t="n">
        <x:v>43</x:v>
      </x:c>
      <x:c r="L11" s="68" t="n">
        <x:v>96</x:v>
      </x:c>
      <x:c r="M11" s="68" t="n">
        <x:v>110</x:v>
      </x:c>
      <x:c r="N11" s="68" t="n">
        <x:v>82</x:v>
      </x:c>
      <x:c r="O11" s="68" t="n">
        <x:v>60</x:v>
      </x:c>
      <x:c r="P11" s="68" t="n">
        <x:f>SUM(D11:O11)</x:f>
        <x:v>817</x:v>
      </x:c>
    </x:row>
    <x:row r="12">
      <x:c r="B12" s="27" t="str">
        <x:v>Open seats sold</x:v>
      </x:c>
      <x:c r="C12" s="27" t="str">
        <x:v>Count</x:v>
      </x:c>
      <x:c r="D12" s="68" t="n">
        <x:v>15</x:v>
      </x:c>
      <x:c r="E12" s="68" t="n">
        <x:v>18</x:v>
      </x:c>
      <x:c r="F12" s="68" t="n">
        <x:v>16</x:v>
      </x:c>
      <x:c r="G12" s="68" t="n">
        <x:v>22</x:v>
      </x:c>
      <x:c r="H12" s="68" t="n">
        <x:v>19</x:v>
      </x:c>
      <x:c r="I12" s="68" t="n">
        <x:v>12</x:v>
      </x:c>
      <x:c r="J12" s="68" t="n">
        <x:v>4</x:v>
      </x:c>
      <x:c r="K12" s="68" t="n">
        <x:v>8</x:v>
      </x:c>
      <x:c r="L12" s="68" t="n">
        <x:v>24</x:v>
      </x:c>
      <x:c r="M12" s="68" t="n">
        <x:v>27</x:v>
      </x:c>
      <x:c r="N12" s="68" t="n">
        <x:v>18</x:v>
      </x:c>
      <x:c r="O12" s="68" t="n">
        <x:v>15</x:v>
      </x:c>
      <x:c r="P12" s="68" t="n">
        <x:f>SUM(D12:O12)</x:f>
        <x:v>198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Prior Year Delivery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2025 actual program volume and capacity use.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Metric</x:v>
      </x:c>
      <x:c r="C6" s="8" t="str">
        <x:v>Unit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Standard corporate programs</x:v>
      </x:c>
      <x:c r="C7" s="27" t="str">
        <x:v>Count</x:v>
      </x:c>
      <x:c r="D7" s="68" t="n">
        <x:v>4</x:v>
      </x:c>
      <x:c r="E7" s="68" t="n">
        <x:v>3</x:v>
      </x:c>
      <x:c r="F7" s="68" t="n">
        <x:v>4</x:v>
      </x:c>
      <x:c r="G7" s="68" t="n">
        <x:v>5</x:v>
      </x:c>
      <x:c r="H7" s="68" t="n">
        <x:v>3</x:v>
      </x:c>
      <x:c r="I7" s="68" t="n">
        <x:v>3</x:v>
      </x:c>
      <x:c r="J7" s="68" t="n">
        <x:v>1</x:v>
      </x:c>
      <x:c r="K7" s="68" t="n">
        <x:v>2</x:v>
      </x:c>
      <x:c r="L7" s="68" t="n">
        <x:v>5</x:v>
      </x:c>
      <x:c r="M7" s="68" t="n">
        <x:v>6</x:v>
      </x:c>
      <x:c r="N7" s="68" t="n">
        <x:v>4</x:v>
      </x:c>
      <x:c r="O7" s="68" t="n">
        <x:v>3</x:v>
      </x:c>
      <x:c r="P7" s="68" t="n">
        <x:f>SUM(D7:O7)</x:f>
        <x:v>43</x:v>
      </x:c>
    </x:row>
    <x:row r="8">
      <x:c r="B8" s="27" t="str">
        <x:v>Large corporate programs</x:v>
      </x:c>
      <x:c r="C8" s="27" t="str">
        <x:v>Count</x:v>
      </x:c>
      <x:c r="D8" s="68" t="n">
        <x:v>0</x:v>
      </x:c>
      <x:c r="E8" s="68" t="n">
        <x:v>1</x:v>
      </x:c>
      <x:c r="F8" s="68" t="n">
        <x:v>0</x:v>
      </x:c>
      <x:c r="G8" s="68" t="n">
        <x:v>1</x:v>
      </x:c>
      <x:c r="H8" s="68" t="n">
        <x:v>1</x:v>
      </x:c>
      <x:c r="I8" s="68" t="n">
        <x:v>0</x:v>
      </x:c>
      <x:c r="J8" s="68" t="n">
        <x:v>0</x:v>
      </x:c>
      <x:c r="K8" s="68" t="n">
        <x:v>0</x:v>
      </x:c>
      <x:c r="L8" s="68" t="n">
        <x:v>1</x:v>
      </x:c>
      <x:c r="M8" s="68" t="n">
        <x:v>1</x:v>
      </x:c>
      <x:c r="N8" s="68" t="n">
        <x:v>1</x:v>
      </x:c>
      <x:c r="O8" s="68" t="n">
        <x:v>0</x:v>
      </x:c>
      <x:c r="P8" s="68" t="n">
        <x:f>SUM(D8:O8)</x:f>
        <x:v>6</x:v>
      </x:c>
    </x:row>
    <x:row r="9">
      <x:c r="B9" s="27" t="str">
        <x:v>Open programs delivered</x:v>
      </x:c>
      <x:c r="C9" s="27" t="str">
        <x:v>Count</x:v>
      </x:c>
      <x:c r="D9" s="68" t="n">
        <x:v>1</x:v>
      </x:c>
      <x:c r="E9" s="68" t="n">
        <x:v>1</x:v>
      </x:c>
      <x:c r="F9" s="68" t="n">
        <x:v>1</x:v>
      </x:c>
      <x:c r="G9" s="68" t="n">
        <x:v>2</x:v>
      </x:c>
      <x:c r="H9" s="68" t="n">
        <x:v>1</x:v>
      </x:c>
      <x:c r="I9" s="68" t="n">
        <x:v>1</x:v>
      </x:c>
      <x:c r="J9" s="68" t="n">
        <x:v>0</x:v>
      </x:c>
      <x:c r="K9" s="68" t="n">
        <x:v>1</x:v>
      </x:c>
      <x:c r="L9" s="68" t="n">
        <x:v>2</x:v>
      </x:c>
      <x:c r="M9" s="68" t="n">
        <x:v>2</x:v>
      </x:c>
      <x:c r="N9" s="68" t="n">
        <x:v>1</x:v>
      </x:c>
      <x:c r="O9" s="68" t="n">
        <x:v>1</x:v>
      </x:c>
      <x:c r="P9" s="68" t="n">
        <x:f>SUM(D9:O9)</x:f>
        <x:v>14</x:v>
      </x:c>
    </x:row>
    <x:row r="10">
      <x:c r="B10" s="27" t="str">
        <x:v>Trainer delivery days</x:v>
      </x:c>
      <x:c r="C10" s="27" t="str">
        <x:v>Days</x:v>
      </x:c>
      <x:c r="D10" s="68" t="n">
        <x:v>8</x:v>
      </x:c>
      <x:c r="E10" s="68" t="n">
        <x:v>8</x:v>
      </x:c>
      <x:c r="F10" s="68" t="n">
        <x:v>8</x:v>
      </x:c>
      <x:c r="G10" s="68" t="n">
        <x:v>13</x:v>
      </x:c>
      <x:c r="H10" s="68" t="n">
        <x:v>9</x:v>
      </x:c>
      <x:c r="I10" s="68" t="n">
        <x:v>7</x:v>
      </x:c>
      <x:c r="J10" s="68" t="n">
        <x:v>2</x:v>
      </x:c>
      <x:c r="K10" s="68" t="n">
        <x:v>5</x:v>
      </x:c>
      <x:c r="L10" s="68" t="n">
        <x:v>14</x:v>
      </x:c>
      <x:c r="M10" s="68" t="n">
        <x:v>16</x:v>
      </x:c>
      <x:c r="N10" s="68" t="n">
        <x:v>11</x:v>
      </x:c>
      <x:c r="O10" s="68" t="n">
        <x:v>7</x:v>
      </x:c>
      <x:c r="P10" s="68" t="n">
        <x:f>SUM(D10:O10)</x:f>
        <x:v>108</x:v>
      </x:c>
    </x:row>
    <x:row r="11">
      <x:c r="B11" s="27" t="str">
        <x:v>Available trainer days</x:v>
      </x:c>
      <x:c r="C11" s="27" t="str">
        <x:v>Days</x:v>
      </x:c>
      <x:c r="D11" s="68" t="n">
        <x:v>15</x:v>
      </x:c>
      <x:c r="E11" s="68" t="n">
        <x:v>15</x:v>
      </x:c>
      <x:c r="F11" s="68" t="n">
        <x:v>17</x:v>
      </x:c>
      <x:c r="G11" s="68" t="n">
        <x:v>16</x:v>
      </x:c>
      <x:c r="H11" s="68" t="n">
        <x:v>17</x:v>
      </x:c>
      <x:c r="I11" s="68" t="n">
        <x:v>15</x:v>
      </x:c>
      <x:c r="J11" s="68" t="n">
        <x:v>10</x:v>
      </x:c>
      <x:c r="K11" s="68" t="n">
        <x:v>12</x:v>
      </x:c>
      <x:c r="L11" s="68" t="n">
        <x:v>18</x:v>
      </x:c>
      <x:c r="M11" s="68" t="n">
        <x:v>18</x:v>
      </x:c>
      <x:c r="N11" s="68" t="n">
        <x:v>16</x:v>
      </x:c>
      <x:c r="O11" s="68" t="n">
        <x:v>12</x:v>
      </x:c>
      <x:c r="P11" s="68" t="n">
        <x:f>SUM(D11:O11)</x:f>
        <x:v>181</x:v>
      </x:c>
    </x:row>
    <x:row r="12">
      <x:c r="B12" s="27" t="str">
        <x:v>Open seats sold</x:v>
      </x:c>
      <x:c r="C12" s="27" t="str">
        <x:v>Seats</x:v>
      </x:c>
      <x:c r="D12" s="68" t="n">
        <x:v>15</x:v>
      </x:c>
      <x:c r="E12" s="68" t="n">
        <x:v>18</x:v>
      </x:c>
      <x:c r="F12" s="68" t="n">
        <x:v>16</x:v>
      </x:c>
      <x:c r="G12" s="68" t="n">
        <x:v>22</x:v>
      </x:c>
      <x:c r="H12" s="68" t="n">
        <x:v>19</x:v>
      </x:c>
      <x:c r="I12" s="68" t="n">
        <x:v>12</x:v>
      </x:c>
      <x:c r="J12" s="68" t="n">
        <x:v>4</x:v>
      </x:c>
      <x:c r="K12" s="68" t="n">
        <x:v>8</x:v>
      </x:c>
      <x:c r="L12" s="68" t="n">
        <x:v>24</x:v>
      </x:c>
      <x:c r="M12" s="68" t="n">
        <x:v>27</x:v>
      </x:c>
      <x:c r="N12" s="68" t="n">
        <x:v>18</x:v>
      </x:c>
      <x:c r="O12" s="68" t="n">
        <x:v>15</x:v>
      </x:c>
      <x:c r="P12" s="68" t="n">
        <x:f>SUM(D12:O12)</x:f>
        <x:v>198</x:v>
      </x:c>
    </x:row>
    <x:row r="13">
      <x:c r="B13" s="27" t="str">
        <x:v>Average open-program attendance</x:v>
      </x:c>
      <x:c r="C13" s="27" t="str">
        <x:v>Participants</x:v>
      </x:c>
      <x:c r="D13" s="68" t="n">
        <x:v>15</x:v>
      </x:c>
      <x:c r="E13" s="68" t="n">
        <x:v>18</x:v>
      </x:c>
      <x:c r="F13" s="68" t="n">
        <x:v>16</x:v>
      </x:c>
      <x:c r="G13" s="68" t="n">
        <x:v>11</x:v>
      </x:c>
      <x:c r="H13" s="68" t="n">
        <x:v>19</x:v>
      </x:c>
      <x:c r="I13" s="68" t="n">
        <x:v>12</x:v>
      </x:c>
      <x:c r="J13" s="68" t="n">
        <x:v>0</x:v>
      </x:c>
      <x:c r="K13" s="68" t="n">
        <x:v>8</x:v>
      </x:c>
      <x:c r="L13" s="68" t="n">
        <x:v>12</x:v>
      </x:c>
      <x:c r="M13" s="68" t="n">
        <x:v>14</x:v>
      </x:c>
      <x:c r="N13" s="68" t="n">
        <x:v>18</x:v>
      </x:c>
      <x:c r="O13" s="68" t="n">
        <x:v>15</x:v>
      </x:c>
      <x:c r="P13" s="71" t="n">
        <x:f>P12/P9</x:f>
        <x:v>14.142857142857142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Draft Sales Budget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2026 revenue budget supplied by the sales director. EUR excluding VAT.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Salesperson</x:v>
      </x:c>
      <x:c r="C6" s="8" t="str">
        <x:v>Product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Anna Power</x:v>
      </x:c>
      <x:c r="C7" s="27" t="str">
        <x:v>Corporate management training</x:v>
      </x:c>
      <x:c r="D7" s="40" t="n">
        <x:v>12500</x:v>
      </x:c>
      <x:c r="E7" s="40" t="n">
        <x:v>12500</x:v>
      </x:c>
      <x:c r="F7" s="40" t="n">
        <x:v>12500</x:v>
      </x:c>
      <x:c r="G7" s="40" t="n">
        <x:v>15000</x:v>
      </x:c>
      <x:c r="H7" s="40" t="n">
        <x:v>12500</x:v>
      </x:c>
      <x:c r="I7" s="40" t="n">
        <x:v>12500</x:v>
      </x:c>
      <x:c r="J7" s="40" t="n">
        <x:v>10000</x:v>
      </x:c>
      <x:c r="K7" s="40" t="n">
        <x:v>12500</x:v>
      </x:c>
      <x:c r="L7" s="40" t="n">
        <x:v>15000</x:v>
      </x:c>
      <x:c r="M7" s="40" t="n">
        <x:v>15000</x:v>
      </x:c>
      <x:c r="N7" s="40" t="n">
        <x:v>12500</x:v>
      </x:c>
      <x:c r="O7" s="40" t="n">
        <x:v>12500</x:v>
      </x:c>
      <x:c r="P7" s="40" t="n">
        <x:f>SUM(D7:O7)</x:f>
        <x:v>155000</x:v>
      </x:c>
    </x:row>
    <x:row r="8">
      <x:c r="B8" s="27" t="str">
        <x:v>Anna Power</x:v>
      </x:c>
      <x:c r="C8" s="27" t="str">
        <x:v>Corporate sales training</x:v>
      </x:c>
      <x:c r="D8" s="40" t="n">
        <x:v>2500</x:v>
      </x:c>
      <x:c r="E8" s="40" t="n">
        <x:v>5000</x:v>
      </x:c>
      <x:c r="F8" s="40" t="n">
        <x:v>5000</x:v>
      </x:c>
      <x:c r="G8" s="40" t="n">
        <x:v>5000</x:v>
      </x:c>
      <x:c r="H8" s="40" t="n">
        <x:v>5000</x:v>
      </x:c>
      <x:c r="I8" s="40" t="n">
        <x:v>5000</x:v>
      </x:c>
      <x:c r="J8" s="40" t="n">
        <x:v>2500</x:v>
      </x:c>
      <x:c r="K8" s="40" t="n">
        <x:v>5000</x:v>
      </x:c>
      <x:c r="L8" s="40" t="n">
        <x:v>5000</x:v>
      </x:c>
      <x:c r="M8" s="40" t="n">
        <x:v>5000</x:v>
      </x:c>
      <x:c r="N8" s="40" t="n">
        <x:v>5000</x:v>
      </x:c>
      <x:c r="O8" s="40" t="n">
        <x:v>2500</x:v>
      </x:c>
      <x:c r="P8" s="40" t="n">
        <x:f>SUM(D8:O8)</x:f>
        <x:v>52500</x:v>
      </x:c>
    </x:row>
    <x:row r="9">
      <x:c r="B9" s="27" t="str">
        <x:v>Anna Power</x:v>
      </x:c>
      <x:c r="C9" s="27" t="str">
        <x:v>Open program seats</x:v>
      </x:c>
      <x:c r="D9" s="40" t="n">
        <x:v>2000</x:v>
      </x:c>
      <x:c r="E9" s="40" t="n">
        <x:v>2500</x:v>
      </x:c>
      <x:c r="F9" s="40" t="n">
        <x:v>2500</x:v>
      </x:c>
      <x:c r="G9" s="40" t="n">
        <x:v>3000</x:v>
      </x:c>
      <x:c r="H9" s="40" t="n">
        <x:v>2500</x:v>
      </x:c>
      <x:c r="I9" s="40" t="n">
        <x:v>2500</x:v>
      </x:c>
      <x:c r="J9" s="40" t="n">
        <x:v>1500</x:v>
      </x:c>
      <x:c r="K9" s="40" t="n">
        <x:v>2500</x:v>
      </x:c>
      <x:c r="L9" s="40" t="n">
        <x:v>3500</x:v>
      </x:c>
      <x:c r="M9" s="40" t="n">
        <x:v>3500</x:v>
      </x:c>
      <x:c r="N9" s="40" t="n">
        <x:v>2500</x:v>
      </x:c>
      <x:c r="O9" s="40" t="n">
        <x:v>2000</x:v>
      </x:c>
      <x:c r="P9" s="40" t="n">
        <x:f>SUM(D9:O9)</x:f>
        <x:v>30500</x:v>
      </x:c>
    </x:row>
    <x:row r="10">
      <x:c r="B10" s="27" t="str">
        <x:v>Mark Pressure</x:v>
      </x:c>
      <x:c r="C10" s="27" t="str">
        <x:v>Corporate management training</x:v>
      </x:c>
      <x:c r="D10" s="40" t="n">
        <x:v>2500</x:v>
      </x:c>
      <x:c r="E10" s="40" t="n">
        <x:v>2500</x:v>
      </x:c>
      <x:c r="F10" s="40" t="n">
        <x:v>5000</x:v>
      </x:c>
      <x:c r="G10" s="40" t="n">
        <x:v>5000</x:v>
      </x:c>
      <x:c r="H10" s="40" t="n">
        <x:v>5000</x:v>
      </x:c>
      <x:c r="I10" s="40" t="n">
        <x:v>2500</x:v>
      </x:c>
      <x:c r="J10" s="40" t="n">
        <x:v>2500</x:v>
      </x:c>
      <x:c r="K10" s="40" t="n">
        <x:v>5000</x:v>
      </x:c>
      <x:c r="L10" s="40" t="n">
        <x:v>5000</x:v>
      </x:c>
      <x:c r="M10" s="40" t="n">
        <x:v>5000</x:v>
      </x:c>
      <x:c r="N10" s="40" t="n">
        <x:v>5000</x:v>
      </x:c>
      <x:c r="O10" s="40" t="n">
        <x:v>2500</x:v>
      </x:c>
      <x:c r="P10" s="40" t="n">
        <x:f>SUM(D10:O10)</x:f>
        <x:v>47500</x:v>
      </x:c>
    </x:row>
    <x:row r="11">
      <x:c r="B11" s="27" t="str">
        <x:v>Mark Pressure</x:v>
      </x:c>
      <x:c r="C11" s="27" t="str">
        <x:v>Corporate sales training</x:v>
      </x:c>
      <x:c r="D11" s="40" t="n">
        <x:v>12500</x:v>
      </x:c>
      <x:c r="E11" s="40" t="n">
        <x:v>12500</x:v>
      </x:c>
      <x:c r="F11" s="40" t="n">
        <x:v>12500</x:v>
      </x:c>
      <x:c r="G11" s="40" t="n">
        <x:v>15000</x:v>
      </x:c>
      <x:c r="H11" s="40" t="n">
        <x:v>12500</x:v>
      </x:c>
      <x:c r="I11" s="40" t="n">
        <x:v>10000</x:v>
      </x:c>
      <x:c r="J11" s="40" t="n">
        <x:v>7500</x:v>
      </x:c>
      <x:c r="K11" s="40" t="n">
        <x:v>10000</x:v>
      </x:c>
      <x:c r="L11" s="40" t="n">
        <x:v>15000</x:v>
      </x:c>
      <x:c r="M11" s="40" t="n">
        <x:v>15000</x:v>
      </x:c>
      <x:c r="N11" s="40" t="n">
        <x:v>12500</x:v>
      </x:c>
      <x:c r="O11" s="40" t="n">
        <x:v>10000</x:v>
      </x:c>
      <x:c r="P11" s="40" t="n">
        <x:f>SUM(D11:O11)</x:f>
        <x:v>145000</x:v>
      </x:c>
    </x:row>
    <x:row r="12">
      <x:c r="B12" s="27" t="str">
        <x:v>Mark Pressure</x:v>
      </x:c>
      <x:c r="C12" s="27" t="str">
        <x:v>Open program seats</x:v>
      </x:c>
      <x:c r="D12" s="40" t="n">
        <x:v>2000</x:v>
      </x:c>
      <x:c r="E12" s="40" t="n">
        <x:v>2500</x:v>
      </x:c>
      <x:c r="F12" s="40" t="n">
        <x:v>2500</x:v>
      </x:c>
      <x:c r="G12" s="40" t="n">
        <x:v>3000</x:v>
      </x:c>
      <x:c r="H12" s="40" t="n">
        <x:v>2500</x:v>
      </x:c>
      <x:c r="I12" s="40" t="n">
        <x:v>2000</x:v>
      </x:c>
      <x:c r="J12" s="40" t="n">
        <x:v>1000</x:v>
      </x:c>
      <x:c r="K12" s="40" t="n">
        <x:v>2000</x:v>
      </x:c>
      <x:c r="L12" s="40" t="n">
        <x:v>3500</x:v>
      </x:c>
      <x:c r="M12" s="40" t="n">
        <x:v>4000</x:v>
      </x:c>
      <x:c r="N12" s="40" t="n">
        <x:v>3000</x:v>
      </x:c>
      <x:c r="O12" s="40" t="n">
        <x:v>2000</x:v>
      </x:c>
      <x:c r="P12" s="40" t="n">
        <x:f>SUM(D12:O12)</x:f>
        <x:v>30000</x:v>
      </x:c>
    </x:row>
    <x:row r="13">
      <x:c r="B13" s="27" t="str">
        <x:v>Linda Smile</x:v>
      </x:c>
      <x:c r="C13" s="27" t="str">
        <x:v>Corporate management training</x:v>
      </x:c>
      <x:c r="D13" s="40" t="n">
        <x:v>5000</x:v>
      </x:c>
      <x:c r="E13" s="40" t="n">
        <x:v>5000</x:v>
      </x:c>
      <x:c r="F13" s="40" t="n">
        <x:v>5000</x:v>
      </x:c>
      <x:c r="G13" s="40" t="n">
        <x:v>7500</x:v>
      </x:c>
      <x:c r="H13" s="40" t="n">
        <x:v>5000</x:v>
      </x:c>
      <x:c r="I13" s="40" t="n">
        <x:v>5000</x:v>
      </x:c>
      <x:c r="J13" s="40" t="n">
        <x:v>2500</x:v>
      </x:c>
      <x:c r="K13" s="40" t="n">
        <x:v>5000</x:v>
      </x:c>
      <x:c r="L13" s="40" t="n">
        <x:v>7500</x:v>
      </x:c>
      <x:c r="M13" s="40" t="n">
        <x:v>7500</x:v>
      </x:c>
      <x:c r="N13" s="40" t="n">
        <x:v>5000</x:v>
      </x:c>
      <x:c r="O13" s="40" t="n">
        <x:v>5000</x:v>
      </x:c>
      <x:c r="P13" s="40" t="n">
        <x:f>SUM(D13:O13)</x:f>
        <x:v>65000</x:v>
      </x:c>
    </x:row>
    <x:row r="14">
      <x:c r="B14" s="27" t="str">
        <x:v>Linda Smile</x:v>
      </x:c>
      <x:c r="C14" s="27" t="str">
        <x:v>Corporate sales training</x:v>
      </x:c>
      <x:c r="D14" s="40" t="n">
        <x:v>2500</x:v>
      </x:c>
      <x:c r="E14" s="40" t="n">
        <x:v>5000</x:v>
      </x:c>
      <x:c r="F14" s="40" t="n">
        <x:v>5000</x:v>
      </x:c>
      <x:c r="G14" s="40" t="n">
        <x:v>5000</x:v>
      </x:c>
      <x:c r="H14" s="40" t="n">
        <x:v>5000</x:v>
      </x:c>
      <x:c r="I14" s="40" t="n">
        <x:v>2500</x:v>
      </x:c>
      <x:c r="J14" s="40" t="n">
        <x:v>2500</x:v>
      </x:c>
      <x:c r="K14" s="40" t="n">
        <x:v>5000</x:v>
      </x:c>
      <x:c r="L14" s="40" t="n">
        <x:v>5000</x:v>
      </x:c>
      <x:c r="M14" s="40" t="n">
        <x:v>7500</x:v>
      </x:c>
      <x:c r="N14" s="40" t="n">
        <x:v>5000</x:v>
      </x:c>
      <x:c r="O14" s="40" t="n">
        <x:v>5000</x:v>
      </x:c>
      <x:c r="P14" s="40" t="n">
        <x:f>SUM(D14:O14)</x:f>
        <x:v>55000</x:v>
      </x:c>
    </x:row>
    <x:row r="15">
      <x:c r="B15" s="27" t="str">
        <x:v>Linda Smile</x:v>
      </x:c>
      <x:c r="C15" s="27" t="str">
        <x:v>Open program seats</x:v>
      </x:c>
      <x:c r="D15" s="40" t="n">
        <x:v>4000</x:v>
      </x:c>
      <x:c r="E15" s="40" t="n">
        <x:v>5000</x:v>
      </x:c>
      <x:c r="F15" s="40" t="n">
        <x:v>6000</x:v>
      </x:c>
      <x:c r="G15" s="40" t="n">
        <x:v>8000</x:v>
      </x:c>
      <x:c r="H15" s="40" t="n">
        <x:v>7000</x:v>
      </x:c>
      <x:c r="I15" s="40" t="n">
        <x:v>6000</x:v>
      </x:c>
      <x:c r="J15" s="40" t="n">
        <x:v>3000</x:v>
      </x:c>
      <x:c r="K15" s="40" t="n">
        <x:v>5000</x:v>
      </x:c>
      <x:c r="L15" s="40" t="n">
        <x:v>9000</x:v>
      </x:c>
      <x:c r="M15" s="40" t="n">
        <x:v>10000</x:v>
      </x:c>
      <x:c r="N15" s="40" t="n">
        <x:v>8000</x:v>
      </x:c>
      <x:c r="O15" s="40" t="n">
        <x:v>7000</x:v>
      </x:c>
      <x:c r="P15" s="40" t="n">
        <x:f>SUM(D15:O15)</x:f>
        <x:v>78000</x:v>
      </x:c>
    </x:row>
    <x:row r="16">
      <x:c r="B16" s="27" t="str">
        <x:v>Peter Late</x:v>
      </x:c>
      <x:c r="C16" s="27" t="str">
        <x:v>Corporate management training</x:v>
      </x:c>
      <x:c r="D16" s="40" t="n">
        <x:v>2500</x:v>
      </x:c>
      <x:c r="E16" s="40" t="n">
        <x:v>2500</x:v>
      </x:c>
      <x:c r="F16" s="40" t="n">
        <x:v>5000</x:v>
      </x:c>
      <x:c r="G16" s="40" t="n">
        <x:v>5000</x:v>
      </x:c>
      <x:c r="H16" s="40" t="n">
        <x:v>2500</x:v>
      </x:c>
      <x:c r="I16" s="40" t="n">
        <x:v>2500</x:v>
      </x:c>
      <x:c r="J16" s="40" t="n">
        <x:v>2500</x:v>
      </x:c>
      <x:c r="K16" s="40" t="n">
        <x:v>5000</x:v>
      </x:c>
      <x:c r="L16" s="40" t="n">
        <x:v>5000</x:v>
      </x:c>
      <x:c r="M16" s="40" t="n">
        <x:v>5000</x:v>
      </x:c>
      <x:c r="N16" s="40" t="n">
        <x:v>2500</x:v>
      </x:c>
      <x:c r="O16" s="40" t="n">
        <x:v>2500</x:v>
      </x:c>
      <x:c r="P16" s="40" t="n">
        <x:f>SUM(D16:O16)</x:f>
        <x:v>42500</x:v>
      </x:c>
    </x:row>
    <x:row r="17">
      <x:c r="B17" s="27" t="str">
        <x:v>Peter Late</x:v>
      </x:c>
      <x:c r="C17" s="27" t="str">
        <x:v>Corporate sales training</x:v>
      </x:c>
      <x:c r="D17" s="40" t="n">
        <x:v>5000</x:v>
      </x:c>
      <x:c r="E17" s="40" t="n">
        <x:v>5000</x:v>
      </x:c>
      <x:c r="F17" s="40" t="n">
        <x:v>5000</x:v>
      </x:c>
      <x:c r="G17" s="40" t="n">
        <x:v>5000</x:v>
      </x:c>
      <x:c r="H17" s="40" t="n">
        <x:v>5000</x:v>
      </x:c>
      <x:c r="I17" s="40" t="n">
        <x:v>5000</x:v>
      </x:c>
      <x:c r="J17" s="40" t="n">
        <x:v>2500</x:v>
      </x:c>
      <x:c r="K17" s="40" t="n">
        <x:v>5000</x:v>
      </x:c>
      <x:c r="L17" s="40" t="n">
        <x:v>7500</x:v>
      </x:c>
      <x:c r="M17" s="40" t="n">
        <x:v>7500</x:v>
      </x:c>
      <x:c r="N17" s="40" t="n">
        <x:v>5000</x:v>
      </x:c>
      <x:c r="O17" s="40" t="n">
        <x:v>5000</x:v>
      </x:c>
      <x:c r="P17" s="40" t="n">
        <x:f>SUM(D17:O17)</x:f>
        <x:v>62500</x:v>
      </x:c>
    </x:row>
    <x:row r="18">
      <x:c r="B18" s="27" t="str">
        <x:v>Peter Late</x:v>
      </x:c>
      <x:c r="C18" s="27" t="str">
        <x:v>Open program seats</x:v>
      </x:c>
      <x:c r="D18" s="40" t="n">
        <x:v>2500</x:v>
      </x:c>
      <x:c r="E18" s="40" t="n">
        <x:v>3000</x:v>
      </x:c>
      <x:c r="F18" s="40" t="n">
        <x:v>3500</x:v>
      </x:c>
      <x:c r="G18" s="40" t="n">
        <x:v>4000</x:v>
      </x:c>
      <x:c r="H18" s="40" t="n">
        <x:v>3500</x:v>
      </x:c>
      <x:c r="I18" s="40" t="n">
        <x:v>3000</x:v>
      </x:c>
      <x:c r="J18" s="40" t="n">
        <x:v>1500</x:v>
      </x:c>
      <x:c r="K18" s="40" t="n">
        <x:v>3000</x:v>
      </x:c>
      <x:c r="L18" s="40" t="n">
        <x:v>5000</x:v>
      </x:c>
      <x:c r="M18" s="40" t="n">
        <x:v>5500</x:v>
      </x:c>
      <x:c r="N18" s="40" t="n">
        <x:v>4000</x:v>
      </x:c>
      <x:c r="O18" s="40" t="n">
        <x:v>3500</x:v>
      </x:c>
      <x:c r="P18" s="40" t="n">
        <x:f>SUM(D18:O18)</x:f>
        <x:v>42000</x:v>
      </x:c>
    </x:row>
    <x:row r="19">
      <x:c r="B19" s="27" t="str">
        <x:v>Ella Fast</x:v>
      </x:c>
      <x:c r="C19" s="27" t="str">
        <x:v>Corporate management training</x:v>
      </x:c>
      <x:c r="D19" s="40" t="n">
        <x:v>0</x:v>
      </x:c>
      <x:c r="E19" s="40" t="n">
        <x:v>0</x:v>
      </x:c>
      <x:c r="F19" s="40" t="n">
        <x:v>0</x:v>
      </x:c>
      <x:c r="G19" s="40" t="n">
        <x:v>0</x:v>
      </x:c>
      <x:c r="H19" s="40" t="n">
        <x:v>0</x:v>
      </x:c>
      <x:c r="I19" s="40" t="n">
        <x:v>7500</x:v>
      </x:c>
      <x:c r="J19" s="40" t="n">
        <x:v>10000</x:v>
      </x:c>
      <x:c r="K19" s="40" t="n">
        <x:v>12500</x:v>
      </x:c>
      <x:c r="L19" s="40" t="n">
        <x:v>12500</x:v>
      </x:c>
      <x:c r="M19" s="40" t="n">
        <x:v>15000</x:v>
      </x:c>
      <x:c r="N19" s="40" t="n">
        <x:v>15000</x:v>
      </x:c>
      <x:c r="O19" s="40" t="n">
        <x:v>12500</x:v>
      </x:c>
      <x:c r="P19" s="40" t="n">
        <x:f>SUM(D19:O19)</x:f>
        <x:v>85000</x:v>
      </x:c>
    </x:row>
    <x:row r="20">
      <x:c r="B20" s="27" t="str">
        <x:v>Ella Fast</x:v>
      </x:c>
      <x:c r="C20" s="27" t="str">
        <x:v>Corporate sales training</x:v>
      </x:c>
      <x:c r="D20" s="40" t="n">
        <x:v>0</x:v>
      </x:c>
      <x:c r="E20" s="40" t="n">
        <x:v>0</x:v>
      </x:c>
      <x:c r="F20" s="40" t="n">
        <x:v>0</x:v>
      </x:c>
      <x:c r="G20" s="40" t="n">
        <x:v>0</x:v>
      </x:c>
      <x:c r="H20" s="40" t="n">
        <x:v>0</x:v>
      </x:c>
      <x:c r="I20" s="40" t="n">
        <x:v>5000</x:v>
      </x:c>
      <x:c r="J20" s="40" t="n">
        <x:v>7500</x:v>
      </x:c>
      <x:c r="K20" s="40" t="n">
        <x:v>10000</x:v>
      </x:c>
      <x:c r="L20" s="40" t="n">
        <x:v>10000</x:v>
      </x:c>
      <x:c r="M20" s="40" t="n">
        <x:v>12500</x:v>
      </x:c>
      <x:c r="N20" s="40" t="n">
        <x:v>12500</x:v>
      </x:c>
      <x:c r="O20" s="40" t="n">
        <x:v>10000</x:v>
      </x:c>
      <x:c r="P20" s="40" t="n">
        <x:f>SUM(D20:O20)</x:f>
        <x:v>67500</x:v>
      </x:c>
    </x:row>
    <x:row r="21">
      <x:c r="B21" s="27" t="str">
        <x:v>Ella Fast</x:v>
      </x:c>
      <x:c r="C21" s="27" t="str">
        <x:v>Open program seats</x:v>
      </x:c>
      <x:c r="D21" s="40" t="n">
        <x:v>0</x:v>
      </x:c>
      <x:c r="E21" s="40" t="n">
        <x:v>0</x:v>
      </x:c>
      <x:c r="F21" s="40" t="n">
        <x:v>0</x:v>
      </x:c>
      <x:c r="G21" s="40" t="n">
        <x:v>0</x:v>
      </x:c>
      <x:c r="H21" s="40" t="n">
        <x:v>0</x:v>
      </x:c>
      <x:c r="I21" s="40" t="n">
        <x:v>2500</x:v>
      </x:c>
      <x:c r="J21" s="40" t="n">
        <x:v>3000</x:v>
      </x:c>
      <x:c r="K21" s="40" t="n">
        <x:v>4000</x:v>
      </x:c>
      <x:c r="L21" s="40" t="n">
        <x:v>5000</x:v>
      </x:c>
      <x:c r="M21" s="40" t="n">
        <x:v>6000</x:v>
      </x:c>
      <x:c r="N21" s="40" t="n">
        <x:v>6000</x:v>
      </x:c>
      <x:c r="O21" s="40" t="n">
        <x:v>5000</x:v>
      </x:c>
      <x:c r="P21" s="40" t="n">
        <x:f>SUM(D21:O21)</x:f>
        <x:v>31500</x:v>
      </x:c>
    </x:row>
    <x:row r="22">
      <x:c r="B22" s="27"/>
      <x:c r="C22" s="27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</x:row>
    <x:row r="23">
      <x:c r="B23" s="78" t="str">
        <x:v>TOTAL</x:v>
      </x:c>
      <x:c r="C23" s="78" t="str">
        <x:v>All products</x:v>
      </x:c>
      <x:c r="D23" s="79" t="n">
        <x:f>SUM(D7:D21)</x:f>
        <x:v>55500</x:v>
      </x:c>
      <x:c r="E23" s="79" t="n">
        <x:f>SUM(E7:E21)</x:f>
        <x:v>63000</x:v>
      </x:c>
      <x:c r="F23" s="79" t="n">
        <x:f>SUM(F7:F21)</x:f>
        <x:v>69500</x:v>
      </x:c>
      <x:c r="G23" s="79" t="n">
        <x:f>SUM(G7:G21)</x:f>
        <x:v>80500</x:v>
      </x:c>
      <x:c r="H23" s="79" t="n">
        <x:f>SUM(H7:H21)</x:f>
        <x:v>68000</x:v>
      </x:c>
      <x:c r="I23" s="79" t="n">
        <x:f>SUM(I7:I21)</x:f>
        <x:v>73500</x:v>
      </x:c>
      <x:c r="J23" s="79" t="n">
        <x:f>SUM(J7:J21)</x:f>
        <x:v>60000</x:v>
      </x:c>
      <x:c r="K23" s="79" t="n">
        <x:f>SUM(K7:K21)</x:f>
        <x:v>91500</x:v>
      </x:c>
      <x:c r="L23" s="79" t="n">
        <x:f>SUM(L7:L21)</x:f>
        <x:v>113500</x:v>
      </x:c>
      <x:c r="M23" s="79" t="n">
        <x:f>SUM(M7:M21)</x:f>
        <x:v>124000</x:v>
      </x:c>
      <x:c r="N23" s="79" t="n">
        <x:f>SUM(N7:N21)</x:f>
        <x:v>103500</x:v>
      </x:c>
      <x:c r="O23" s="79" t="n">
        <x:f>SUM(O7:O21)</x:f>
        <x:v>87000</x:v>
      </x:c>
      <x:c r="P23" s="79" t="n">
        <x:f>SUM(P7:P21)</x:f>
        <x:v>989500</x:v>
      </x:c>
    </x:row>
    <x:row r="24">
      <x:c r="B24" s="78" t="str">
        <x:v>Growth versus prior year</x:v>
      </x:c>
      <x:c r="C24" s="78" t="str">
        <x:v>Revenue growth</x:v>
      </x:c>
      <x:c r="D24" s="80" t="n">
        <x:f>D23/'02 Prior Year Sales'!D20-1</x:f>
        <x:v>0.247191011235955</x:v>
      </x:c>
      <x:c r="E24" s="80" t="n">
        <x:f>E23/'02 Prior Year Sales'!E20-1</x:f>
        <x:v>0.24752475247524752</x:v>
      </x:c>
      <x:c r="F24" s="80" t="n">
        <x:f>F23/'02 Prior Year Sales'!F20-1</x:f>
        <x:v>0.5274725274725274</x:v>
      </x:c>
      <x:c r="G24" s="80" t="n">
        <x:f>G23/'02 Prior Year Sales'!G20-1</x:f>
        <x:v>0.26771653543307083</x:v>
      </x:c>
      <x:c r="H24" s="80" t="n">
        <x:f>H23/'02 Prior Year Sales'!H20-1</x:f>
        <x:v>0.5813953488372092</x:v>
      </x:c>
      <x:c r="I24" s="80" t="n">
        <x:f>I23/'02 Prior Year Sales'!I20-1</x:f>
        <x:v>1.5344827586206895</x:v>
      </x:c>
      <x:c r="J24" s="80" t="n">
        <x:f>J23/'02 Prior Year Sales'!J20-1</x:f>
        <x:v>3</x:v>
      </x:c>
      <x:c r="K24" s="80" t="n">
        <x:f>K23/'02 Prior Year Sales'!K20-1</x:f>
        <x:v>1.772727272727273</x:v>
      </x:c>
      <x:c r="L24" s="80" t="n">
        <x:f>L23/'02 Prior Year Sales'!L20-1</x:f>
        <x:v>0.8760330578512396</x:v>
      </x:c>
      <x:c r="M24" s="80" t="n">
        <x:f>M23/'02 Prior Year Sales'!M20-1</x:f>
        <x:v>0.8931297709923665</x:v>
      </x:c>
      <x:c r="N24" s="80" t="n">
        <x:f>N23/'02 Prior Year Sales'!N20-1</x:f>
        <x:v>1.5875</x:v>
      </x:c>
      <x:c r="O24" s="80" t="n">
        <x:f>O23/'02 Prior Year Sales'!O20-1</x:f>
        <x:v>1.2597402597402598</x:v>
      </x:c>
      <x:c r="P24" s="80" t="n">
        <x:f>P23/'02 Prior Year Sales'!P20-1</x:f>
        <x:v>0.8722800378429518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6" ySplit="6" topLeftCell="G7" activePane="bottomRight" state="frozen"/>
    </x:sheetView>
  </x:sheetViews>
  <x:sheetFormatPr defaultRowHeight="15"/>
  <x:cols>
    <x:col min="1" max="1" width="2" hidden="0" customWidth="1"/>
    <x:col min="2" max="2" width="9" hidden="0" customWidth="1"/>
    <x:col min="3" max="3" width="9" hidden="0" customWidth="1"/>
    <x:col min="4" max="4" width="18" hidden="0" customWidth="1"/>
    <x:col min="5" max="5" width="28" hidden="0" customWidth="1"/>
    <x:col min="6" max="6" width="17" hidden="0" customWidth="1"/>
    <x:col min="7" max="7" width="8" hidden="0" customWidth="1"/>
    <x:col min="8" max="8" width="12" hidden="0" customWidth="1"/>
    <x:col min="9" max="9" width="10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4" max="14" width="10" hidden="0" customWidth="1"/>
    <x:col min="15" max="15" width="10" hidden="0" customWidth="1"/>
    <x:col min="16" max="16" width="10" hidden="0" customWidth="1"/>
    <x:col min="17" max="17" width="12" hidden="0" customWidth="1"/>
    <x:col min="18" max="18" width="12" hidden="0" customWidth="1"/>
    <x:col min="19" max="19" width="12" hidden="0" customWidth="1"/>
    <x:col min="20" max="20" width="10" hidden="0" customWidth="1"/>
  </x:cols>
  <x:sheetData>
    <x:row r="2">
      <x:c r="B2" s="24" t="str">
        <x:v>Draft Program Plan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</x:row>
    <x:row r="3">
      <x:c r="B3" s="26" t="str">
        <x:v>Programs scheduled by operations for 2026. Revenue and direct costs are calculated from the supplied plan.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</x:row>
    <x:row r="6">
      <x:c r="B6" s="8" t="str">
        <x:v>ID</x:v>
      </x:c>
      <x:c r="C6" s="8" t="str">
        <x:v>Month</x:v>
      </x:c>
      <x:c r="D6" s="8" t="str">
        <x:v>Salesperson</x:v>
      </x:c>
      <x:c r="E6" s="8" t="str">
        <x:v>Client or Event</x:v>
      </x:c>
      <x:c r="F6" s="8" t="str">
        <x:v>Type</x:v>
      </x:c>
      <x:c r="G6" s="8" t="str">
        <x:v>Days</x:v>
      </x:c>
      <x:c r="H6" s="8" t="str">
        <x:v>Participants</x:v>
      </x:c>
      <x:c r="I6" s="8" t="str">
        <x:v>Seat Price</x:v>
      </x:c>
      <x:c r="J6" s="8" t="str">
        <x:v>Revenue</x:v>
      </x:c>
      <x:c r="K6" s="8" t="str">
        <x:v>Instructor Cost</x:v>
      </x:c>
      <x:c r="L6" s="8" t="str">
        <x:v>Assistants</x:v>
      </x:c>
      <x:c r="M6" s="8" t="str">
        <x:v>Assistant Cost</x:v>
      </x:c>
      <x:c r="N6" s="8" t="str">
        <x:v>Venue</x:v>
      </x:c>
      <x:c r="O6" s="8" t="str">
        <x:v>Travel</x:v>
      </x:c>
      <x:c r="P6" s="8" t="str">
        <x:v>Materials</x:v>
      </x:c>
      <x:c r="Q6" s="8" t="str">
        <x:v>Sales Commission</x:v>
      </x:c>
      <x:c r="R6" s="8" t="str">
        <x:v>Direct Cost</x:v>
      </x:c>
      <x:c r="S6" s="8" t="str">
        <x:v>Contribution</x:v>
      </x:c>
      <x:c r="T6" s="8" t="str">
        <x:v>Margin</x:v>
      </x:c>
    </x:row>
    <x:row r="7">
      <x:c r="B7" s="27" t="str">
        <x:v>P01</x:v>
      </x:c>
      <x:c r="C7" s="27" t="str">
        <x:v>Jan</x:v>
      </x:c>
      <x:c r="D7" s="27" t="str">
        <x:v>Mark Pressure</x:v>
      </x:c>
      <x:c r="E7" s="27" t="str">
        <x:v>Never Enough Calls Ltd</x:v>
      </x:c>
      <x:c r="F7" s="27" t="str">
        <x:v>Standard corporate</x:v>
      </x:c>
      <x:c r="G7" s="27" t="n">
        <x:v>2</x:v>
      </x:c>
      <x:c r="H7" s="27" t="n">
        <x:v>20</x:v>
      </x:c>
      <x:c r="I7" s="27" t="n">
        <x:v>0</x:v>
      </x:c>
      <x:c r="J7" s="40" t="n">
        <x:f>IF(F7="Open",H7*I7,IF(F7="Large corporate",(2500+ROUNDUP(MAX(0,H7-20)/10,0)*650)*G7,2500*G7))</x:f>
        <x:v>5000</x:v>
      </x:c>
      <x:c r="K7" s="40" t="n">
        <x:f>G7*700</x:f>
        <x:v>1400</x:v>
      </x:c>
      <x:c r="L7" s="68" t="n">
        <x:f>IF(F7="Large corporate",MAX(0,ROUNDUP(H7/30,0)-1),0)</x:f>
        <x:v>0</x:v>
      </x:c>
      <x:c r="M7" s="40" t="n">
        <x:f>L7*175*G7</x:f>
        <x:v>0</x:v>
      </x:c>
      <x:c r="N7" s="40" t="n">
        <x:f>IF(F7="Open",600*G7,0)</x:f>
        <x:v>0</x:v>
      </x:c>
      <x:c r="O7" s="40" t="n">
        <x:v>0</x:v>
      </x:c>
      <x:c r="P7" s="40" t="n">
        <x:f>H7*15*G7</x:f>
        <x:v>600</x:v>
      </x:c>
      <x:c r="Q7" s="40" t="n">
        <x:f>J7*5%</x:f>
        <x:v>250</x:v>
      </x:c>
      <x:c r="R7" s="40" t="n">
        <x:f>SUM(K7,M7:Q7)</x:f>
        <x:v>2250</x:v>
      </x:c>
      <x:c r="S7" s="40" t="n">
        <x:f>J7-R7</x:f>
        <x:v>2750</x:v>
      </x:c>
      <x:c r="T7" s="85" t="n">
        <x:f>S7/J7</x:f>
        <x:v>0.55</x:v>
      </x:c>
    </x:row>
    <x:row r="8">
      <x:c r="B8" s="27" t="str">
        <x:v>P02</x:v>
      </x:c>
      <x:c r="C8" s="27" t="str">
        <x:v>Jan</x:v>
      </x:c>
      <x:c r="D8" s="27" t="str">
        <x:v>Linda Smile</x:v>
      </x:c>
      <x:c r="E8" s="27" t="str">
        <x:v>How to Look Busy All Day</x:v>
      </x:c>
      <x:c r="F8" s="27" t="str">
        <x:v>Open</x:v>
      </x:c>
      <x:c r="G8" s="27" t="n">
        <x:v>1</x:v>
      </x:c>
      <x:c r="H8" s="27" t="n">
        <x:v>18</x:v>
      </x:c>
      <x:c r="I8" s="27" t="n">
        <x:v>200</x:v>
      </x:c>
      <x:c r="J8" s="40" t="n">
        <x:f>IF(F8="Open",H8*I8,IF(F8="Large corporate",(2500+ROUNDUP(MAX(0,H8-20)/10,0)*650)*G8,2500*G8))</x:f>
        <x:v>3600</x:v>
      </x:c>
      <x:c r="K8" s="40" t="n">
        <x:f>G8*700</x:f>
        <x:v>700</x:v>
      </x:c>
      <x:c r="L8" s="68" t="n">
        <x:f>IF(F8="Large corporate",MAX(0,ROUNDUP(H8/30,0)-1),0)</x:f>
        <x:v>0</x:v>
      </x:c>
      <x:c r="M8" s="40" t="n">
        <x:f>L8*175*G8</x:f>
        <x:v>0</x:v>
      </x:c>
      <x:c r="N8" s="40" t="n">
        <x:f>IF(F8="Open",600*G8,0)</x:f>
        <x:v>600</x:v>
      </x:c>
      <x:c r="O8" s="40" t="n">
        <x:v>0</x:v>
      </x:c>
      <x:c r="P8" s="40" t="n">
        <x:f>H8*15*G8</x:f>
        <x:v>270</x:v>
      </x:c>
      <x:c r="Q8" s="40" t="n">
        <x:f>J8*5%</x:f>
        <x:v>180</x:v>
      </x:c>
      <x:c r="R8" s="40" t="n">
        <x:f>SUM(K8,M8:Q8)</x:f>
        <x:v>1750</x:v>
      </x:c>
      <x:c r="S8" s="40" t="n">
        <x:f>J8-R8</x:f>
        <x:v>1850</x:v>
      </x:c>
      <x:c r="T8" s="85" t="n">
        <x:f>S8/J8</x:f>
        <x:v>0.5138888888888888</x:v>
      </x:c>
    </x:row>
    <x:row r="9">
      <x:c r="B9" s="27" t="str">
        <x:v>P03</x:v>
      </x:c>
      <x:c r="C9" s="27" t="str">
        <x:v>Feb</x:v>
      </x:c>
      <x:c r="D9" s="27" t="str">
        <x:v>Anna Power</x:v>
      </x:c>
      <x:c r="E9" s="27" t="str">
        <x:v>Big Chair Bank</x:v>
      </x:c>
      <x:c r="F9" s="27" t="str">
        <x:v>Large corporate</x:v>
      </x:c>
      <x:c r="G9" s="27" t="n">
        <x:v>2</x:v>
      </x:c>
      <x:c r="H9" s="27" t="n">
        <x:v>60</x:v>
      </x:c>
      <x:c r="I9" s="27" t="n">
        <x:v>0</x:v>
      </x:c>
      <x:c r="J9" s="40" t="n">
        <x:f>IF(F9="Open",H9*I9,IF(F9="Large corporate",(2500+ROUNDUP(MAX(0,H9-20)/10,0)*650)*G9,2500*G9))</x:f>
        <x:v>10200</x:v>
      </x:c>
      <x:c r="K9" s="40" t="n">
        <x:f>G9*700</x:f>
        <x:v>1400</x:v>
      </x:c>
      <x:c r="L9" s="68" t="n">
        <x:f>IF(F9="Large corporate",MAX(0,ROUNDUP(H9/30,0)-1),0)</x:f>
        <x:v>1</x:v>
      </x:c>
      <x:c r="M9" s="40" t="n">
        <x:f>L9*175*G9</x:f>
        <x:v>350</x:v>
      </x:c>
      <x:c r="N9" s="40" t="n">
        <x:f>IF(F9="Open",600*G9,0)</x:f>
        <x:v>0</x:v>
      </x:c>
      <x:c r="O9" s="40" t="n">
        <x:v>800</x:v>
      </x:c>
      <x:c r="P9" s="40" t="n">
        <x:f>H9*15*G9</x:f>
        <x:v>1800</x:v>
      </x:c>
      <x:c r="Q9" s="40" t="n">
        <x:f>J9*5%</x:f>
        <x:v>510</x:v>
      </x:c>
      <x:c r="R9" s="40" t="n">
        <x:f>SUM(K9,M9:Q9)</x:f>
        <x:v>4860</x:v>
      </x:c>
      <x:c r="S9" s="40" t="n">
        <x:f>J9-R9</x:f>
        <x:v>5340</x:v>
      </x:c>
      <x:c r="T9" s="85" t="n">
        <x:f>S9/J9</x:f>
        <x:v>0.5235294117647059</x:v>
      </x:c>
    </x:row>
    <x:row r="10">
      <x:c r="B10" s="27" t="str">
        <x:v>P04</x:v>
      </x:c>
      <x:c r="C10" s="27" t="str">
        <x:v>Feb</x:v>
      </x:c>
      <x:c r="D10" s="27" t="str">
        <x:v>Peter Late</x:v>
      </x:c>
      <x:c r="E10" s="27" t="str">
        <x:v>Meetings About Meetings</x:v>
      </x:c>
      <x:c r="F10" s="27" t="str">
        <x:v>Standard corporate</x:v>
      </x:c>
      <x:c r="G10" s="27" t="n">
        <x:v>1</x:v>
      </x:c>
      <x:c r="H10" s="27" t="n">
        <x:v>18</x:v>
      </x:c>
      <x:c r="I10" s="27" t="n">
        <x:v>0</x:v>
      </x:c>
      <x:c r="J10" s="40" t="n">
        <x:f>IF(F10="Open",H10*I10,IF(F10="Large corporate",(2500+ROUNDUP(MAX(0,H10-20)/10,0)*650)*G10,2500*G10))</x:f>
        <x:v>2500</x:v>
      </x:c>
      <x:c r="K10" s="40" t="n">
        <x:f>G10*700</x:f>
        <x:v>700</x:v>
      </x:c>
      <x:c r="L10" s="68" t="n">
        <x:f>IF(F10="Large corporate",MAX(0,ROUNDUP(H10/30,0)-1),0)</x:f>
        <x:v>0</x:v>
      </x:c>
      <x:c r="M10" s="40" t="n">
        <x:f>L10*175*G10</x:f>
        <x:v>0</x:v>
      </x:c>
      <x:c r="N10" s="40" t="n">
        <x:f>IF(F10="Open",600*G10,0)</x:f>
        <x:v>0</x:v>
      </x:c>
      <x:c r="O10" s="40" t="n">
        <x:v>0</x:v>
      </x:c>
      <x:c r="P10" s="40" t="n">
        <x:f>H10*15*G10</x:f>
        <x:v>270</x:v>
      </x:c>
      <x:c r="Q10" s="40" t="n">
        <x:f>J10*5%</x:f>
        <x:v>125</x:v>
      </x:c>
      <x:c r="R10" s="40" t="n">
        <x:f>SUM(K10,M10:Q10)</x:f>
        <x:v>1095</x:v>
      </x:c>
      <x:c r="S10" s="40" t="n">
        <x:f>J10-R10</x:f>
        <x:v>1405</x:v>
      </x:c>
      <x:c r="T10" s="85" t="n">
        <x:f>S10/J10</x:f>
        <x:v>0.562</x:v>
      </x:c>
    </x:row>
    <x:row r="11">
      <x:c r="B11" s="27" t="str">
        <x:v>P05</x:v>
      </x:c>
      <x:c r="C11" s="27" t="str">
        <x:v>Mar</x:v>
      </x:c>
      <x:c r="D11" s="27" t="str">
        <x:v>Anna Power</x:v>
      </x:c>
      <x:c r="E11" s="27" t="str">
        <x:v>Credit for Other People's Work</x:v>
      </x:c>
      <x:c r="F11" s="27" t="str">
        <x:v>Standard corporate</x:v>
      </x:c>
      <x:c r="G11" s="27" t="n">
        <x:v>2</x:v>
      </x:c>
      <x:c r="H11" s="27" t="n">
        <x:v>20</x:v>
      </x:c>
      <x:c r="I11" s="27" t="n">
        <x:v>0</x:v>
      </x:c>
      <x:c r="J11" s="40" t="n">
        <x:f>IF(F11="Open",H11*I11,IF(F11="Large corporate",(2500+ROUNDUP(MAX(0,H11-20)/10,0)*650)*G11,2500*G11))</x:f>
        <x:v>5000</x:v>
      </x:c>
      <x:c r="K11" s="40" t="n">
        <x:f>G11*700</x:f>
        <x:v>1400</x:v>
      </x:c>
      <x:c r="L11" s="68" t="n">
        <x:f>IF(F11="Large corporate",MAX(0,ROUNDUP(H11/30,0)-1),0)</x:f>
        <x:v>0</x:v>
      </x:c>
      <x:c r="M11" s="40" t="n">
        <x:f>L11*175*G11</x:f>
        <x:v>0</x:v>
      </x:c>
      <x:c r="N11" s="40" t="n">
        <x:f>IF(F11="Open",600*G11,0)</x:f>
        <x:v>0</x:v>
      </x:c>
      <x:c r="O11" s="40" t="n">
        <x:v>300</x:v>
      </x:c>
      <x:c r="P11" s="40" t="n">
        <x:f>H11*15*G11</x:f>
        <x:v>600</x:v>
      </x:c>
      <x:c r="Q11" s="40" t="n">
        <x:f>J11*5%</x:f>
        <x:v>250</x:v>
      </x:c>
      <x:c r="R11" s="40" t="n">
        <x:f>SUM(K11,M11:Q11)</x:f>
        <x:v>2550</x:v>
      </x:c>
      <x:c r="S11" s="40" t="n">
        <x:f>J11-R11</x:f>
        <x:v>2450</x:v>
      </x:c>
      <x:c r="T11" s="85" t="n">
        <x:f>S11/J11</x:f>
        <x:v>0.49</x:v>
      </x:c>
    </x:row>
    <x:row r="12">
      <x:c r="B12" s="27" t="str">
        <x:v>P06</x:v>
      </x:c>
      <x:c r="C12" s="27" t="str">
        <x:v>Mar</x:v>
      </x:c>
      <x:c r="D12" s="27" t="str">
        <x:v>Linda Smile</x:v>
      </x:c>
      <x:c r="E12" s="27" t="str">
        <x:v>Advanced Micromanagement</x:v>
      </x:c>
      <x:c r="F12" s="27" t="str">
        <x:v>Open</x:v>
      </x:c>
      <x:c r="G12" s="27" t="n">
        <x:v>2</x:v>
      </x:c>
      <x:c r="H12" s="27" t="n">
        <x:v>20</x:v>
      </x:c>
      <x:c r="I12" s="27" t="n">
        <x:v>500</x:v>
      </x:c>
      <x:c r="J12" s="40" t="n">
        <x:f>IF(F12="Open",H12*I12,IF(F12="Large corporate",(2500+ROUNDUP(MAX(0,H12-20)/10,0)*650)*G12,2500*G12))</x:f>
        <x:v>10000</x:v>
      </x:c>
      <x:c r="K12" s="40" t="n">
        <x:f>G12*700</x:f>
        <x:v>1400</x:v>
      </x:c>
      <x:c r="L12" s="68" t="n">
        <x:f>IF(F12="Large corporate",MAX(0,ROUNDUP(H12/30,0)-1),0)</x:f>
        <x:v>0</x:v>
      </x:c>
      <x:c r="M12" s="40" t="n">
        <x:f>L12*175*G12</x:f>
        <x:v>0</x:v>
      </x:c>
      <x:c r="N12" s="40" t="n">
        <x:f>IF(F12="Open",600*G12,0)</x:f>
        <x:v>1200</x:v>
      </x:c>
      <x:c r="O12" s="40" t="n">
        <x:v>0</x:v>
      </x:c>
      <x:c r="P12" s="40" t="n">
        <x:f>H12*15*G12</x:f>
        <x:v>600</x:v>
      </x:c>
      <x:c r="Q12" s="40" t="n">
        <x:f>J12*5%</x:f>
        <x:v>500</x:v>
      </x:c>
      <x:c r="R12" s="40" t="n">
        <x:f>SUM(K12,M12:Q12)</x:f>
        <x:v>3700</x:v>
      </x:c>
      <x:c r="S12" s="40" t="n">
        <x:f>J12-R12</x:f>
        <x:v>6300</x:v>
      </x:c>
      <x:c r="T12" s="85" t="n">
        <x:f>S12/J12</x:f>
        <x:v>0.63</x:v>
      </x:c>
    </x:row>
    <x:row r="13">
      <x:c r="B13" s="27" t="str">
        <x:v>P07</x:v>
      </x:c>
      <x:c r="C13" s="27" t="str">
        <x:v>Apr</x:v>
      </x:c>
      <x:c r="D13" s="27" t="str">
        <x:v>Mark Pressure</x:v>
      </x:c>
      <x:c r="E13" s="27" t="str">
        <x:v>Call Until They Buy</x:v>
      </x:c>
      <x:c r="F13" s="27" t="str">
        <x:v>Standard corporate</x:v>
      </x:c>
      <x:c r="G13" s="27" t="n">
        <x:v>2</x:v>
      </x:c>
      <x:c r="H13" s="27" t="n">
        <x:v>20</x:v>
      </x:c>
      <x:c r="I13" s="27" t="n">
        <x:v>0</x:v>
      </x:c>
      <x:c r="J13" s="40" t="n">
        <x:f>IF(F13="Open",H13*I13,IF(F13="Large corporate",(2500+ROUNDUP(MAX(0,H13-20)/10,0)*650)*G13,2500*G13))</x:f>
        <x:v>5000</x:v>
      </x:c>
      <x:c r="K13" s="40" t="n">
        <x:f>G13*700</x:f>
        <x:v>1400</x:v>
      </x:c>
      <x:c r="L13" s="68" t="n">
        <x:f>IF(F13="Large corporate",MAX(0,ROUNDUP(H13/30,0)-1),0)</x:f>
        <x:v>0</x:v>
      </x:c>
      <x:c r="M13" s="40" t="n">
        <x:f>L13*175*G13</x:f>
        <x:v>0</x:v>
      </x:c>
      <x:c r="N13" s="40" t="n">
        <x:f>IF(F13="Open",600*G13,0)</x:f>
        <x:v>0</x:v>
      </x:c>
      <x:c r="O13" s="40" t="n">
        <x:v>250</x:v>
      </x:c>
      <x:c r="P13" s="40" t="n">
        <x:f>H13*15*G13</x:f>
        <x:v>600</x:v>
      </x:c>
      <x:c r="Q13" s="40" t="n">
        <x:f>J13*5%</x:f>
        <x:v>250</x:v>
      </x:c>
      <x:c r="R13" s="40" t="n">
        <x:f>SUM(K13,M13:Q13)</x:f>
        <x:v>2500</x:v>
      </x:c>
      <x:c r="S13" s="40" t="n">
        <x:f>J13-R13</x:f>
        <x:v>2500</x:v>
      </x:c>
      <x:c r="T13" s="85" t="n">
        <x:f>S13/J13</x:f>
        <x:v>0.5</x:v>
      </x:c>
    </x:row>
    <x:row r="14">
      <x:c r="B14" s="27" t="str">
        <x:v>P08</x:v>
      </x:c>
      <x:c r="C14" s="27" t="str">
        <x:v>Apr</x:v>
      </x:c>
      <x:c r="D14" s="27" t="str">
        <x:v>Peter Late</x:v>
      </x:c>
      <x:c r="E14" s="27" t="str">
        <x:v>Promise First Ask Later</x:v>
      </x:c>
      <x:c r="F14" s="27" t="str">
        <x:v>Large corporate</x:v>
      </x:c>
      <x:c r="G14" s="27" t="n">
        <x:v>1</x:v>
      </x:c>
      <x:c r="H14" s="27" t="n">
        <x:v>90</x:v>
      </x:c>
      <x:c r="I14" s="27" t="n">
        <x:v>0</x:v>
      </x:c>
      <x:c r="J14" s="40" t="n">
        <x:f>IF(F14="Open",H14*I14,IF(F14="Large corporate",(2500+ROUNDUP(MAX(0,H14-20)/10,0)*650)*G14,2500*G14))</x:f>
        <x:v>7050</x:v>
      </x:c>
      <x:c r="K14" s="40" t="n">
        <x:f>G14*700</x:f>
        <x:v>700</x:v>
      </x:c>
      <x:c r="L14" s="68" t="n">
        <x:f>IF(F14="Large corporate",MAX(0,ROUNDUP(H14/30,0)-1),0)</x:f>
        <x:v>2</x:v>
      </x:c>
      <x:c r="M14" s="40" t="n">
        <x:f>L14*175*G14</x:f>
        <x:v>350</x:v>
      </x:c>
      <x:c r="N14" s="40" t="n">
        <x:f>IF(F14="Open",600*G14,0)</x:f>
        <x:v>0</x:v>
      </x:c>
      <x:c r="O14" s="40" t="n">
        <x:v>900</x:v>
      </x:c>
      <x:c r="P14" s="40" t="n">
        <x:f>H14*15*G14</x:f>
        <x:v>1350</x:v>
      </x:c>
      <x:c r="Q14" s="40" t="n">
        <x:f>J14*5%</x:f>
        <x:v>352.5</x:v>
      </x:c>
      <x:c r="R14" s="40" t="n">
        <x:f>SUM(K14,M14:Q14)</x:f>
        <x:v>3652.5</x:v>
      </x:c>
      <x:c r="S14" s="40" t="n">
        <x:f>J14-R14</x:f>
        <x:v>3397.5</x:v>
      </x:c>
      <x:c r="T14" s="85" t="n">
        <x:f>S14/J14</x:f>
        <x:v>0.4819148936170213</x:v>
      </x:c>
    </x:row>
    <x:row r="15">
      <x:c r="B15" s="27" t="str">
        <x:v>P09</x:v>
      </x:c>
      <x:c r="C15" s="27" t="str">
        <x:v>May</x:v>
      </x:c>
      <x:c r="D15" s="27" t="str">
        <x:v>Anna Power</x:v>
      </x:c>
      <x:c r="E15" s="27" t="str">
        <x:v>Professional Blame Delegation</x:v>
      </x:c>
      <x:c r="F15" s="27" t="str">
        <x:v>Standard corporate</x:v>
      </x:c>
      <x:c r="G15" s="27" t="n">
        <x:v>1</x:v>
      </x:c>
      <x:c r="H15" s="27" t="n">
        <x:v>20</x:v>
      </x:c>
      <x:c r="I15" s="27" t="n">
        <x:v>0</x:v>
      </x:c>
      <x:c r="J15" s="40" t="n">
        <x:f>IF(F15="Open",H15*I15,IF(F15="Large corporate",(2500+ROUNDUP(MAX(0,H15-20)/10,0)*650)*G15,2500*G15))</x:f>
        <x:v>2500</x:v>
      </x:c>
      <x:c r="K15" s="40" t="n">
        <x:f>G15*700</x:f>
        <x:v>700</x:v>
      </x:c>
      <x:c r="L15" s="68" t="n">
        <x:f>IF(F15="Large corporate",MAX(0,ROUNDUP(H15/30,0)-1),0)</x:f>
        <x:v>0</x:v>
      </x:c>
      <x:c r="M15" s="40" t="n">
        <x:f>L15*175*G15</x:f>
        <x:v>0</x:v>
      </x:c>
      <x:c r="N15" s="40" t="n">
        <x:f>IF(F15="Open",600*G15,0)</x:f>
        <x:v>0</x:v>
      </x:c>
      <x:c r="O15" s="40" t="n">
        <x:v>0</x:v>
      </x:c>
      <x:c r="P15" s="40" t="n">
        <x:f>H15*15*G15</x:f>
        <x:v>300</x:v>
      </x:c>
      <x:c r="Q15" s="40" t="n">
        <x:f>J15*5%</x:f>
        <x:v>125</x:v>
      </x:c>
      <x:c r="R15" s="40" t="n">
        <x:f>SUM(K15,M15:Q15)</x:f>
        <x:v>1125</x:v>
      </x:c>
      <x:c r="S15" s="40" t="n">
        <x:f>J15-R15</x:f>
        <x:v>1375</x:v>
      </x:c>
      <x:c r="T15" s="85" t="n">
        <x:f>S15/J15</x:f>
        <x:v>0.55</x:v>
      </x:c>
    </x:row>
    <x:row r="16">
      <x:c r="B16" s="27" t="str">
        <x:v>P10</x:v>
      </x:c>
      <x:c r="C16" s="27" t="str">
        <x:v>May</x:v>
      </x:c>
      <x:c r="D16" s="27" t="str">
        <x:v>Linda Smile</x:v>
      </x:c>
      <x:c r="E16" s="27" t="str">
        <x:v>Executive Blame Delegation</x:v>
      </x:c>
      <x:c r="F16" s="27" t="str">
        <x:v>Open</x:v>
      </x:c>
      <x:c r="G16" s="27" t="n">
        <x:v>2</x:v>
      </x:c>
      <x:c r="H16" s="27" t="n">
        <x:v>18</x:v>
      </x:c>
      <x:c r="I16" s="27" t="n">
        <x:v>600</x:v>
      </x:c>
      <x:c r="J16" s="40" t="n">
        <x:f>IF(F16="Open",H16*I16,IF(F16="Large corporate",(2500+ROUNDUP(MAX(0,H16-20)/10,0)*650)*G16,2500*G16))</x:f>
        <x:v>10800</x:v>
      </x:c>
      <x:c r="K16" s="40" t="n">
        <x:f>G16*700</x:f>
        <x:v>1400</x:v>
      </x:c>
      <x:c r="L16" s="68" t="n">
        <x:f>IF(F16="Large corporate",MAX(0,ROUNDUP(H16/30,0)-1),0)</x:f>
        <x:v>0</x:v>
      </x:c>
      <x:c r="M16" s="40" t="n">
        <x:f>L16*175*G16</x:f>
        <x:v>0</x:v>
      </x:c>
      <x:c r="N16" s="40" t="n">
        <x:f>IF(F16="Open",600*G16,0)</x:f>
        <x:v>1200</x:v>
      </x:c>
      <x:c r="O16" s="40" t="n">
        <x:v>0</x:v>
      </x:c>
      <x:c r="P16" s="40" t="n">
        <x:f>H16*15*G16</x:f>
        <x:v>540</x:v>
      </x:c>
      <x:c r="Q16" s="40" t="n">
        <x:f>J16*5%</x:f>
        <x:v>540</x:v>
      </x:c>
      <x:c r="R16" s="40" t="n">
        <x:f>SUM(K16,M16:Q16)</x:f>
        <x:v>3680</x:v>
      </x:c>
      <x:c r="S16" s="40" t="n">
        <x:f>J16-R16</x:f>
        <x:v>7120</x:v>
      </x:c>
      <x:c r="T16" s="85" t="n">
        <x:f>S16/J16</x:f>
        <x:v>0.6592592592592592</x:v>
      </x:c>
    </x:row>
    <x:row r="17">
      <x:c r="B17" s="27" t="str">
        <x:v>P11</x:v>
      </x:c>
      <x:c r="C17" s="27" t="str">
        <x:v>Jun</x:v>
      </x:c>
      <x:c r="D17" s="27" t="str">
        <x:v>Ella Fast</x:v>
      </x:c>
      <x:c r="E17" s="27" t="str">
        <x:v>Advanced Micromanagement</x:v>
      </x:c>
      <x:c r="F17" s="27" t="str">
        <x:v>Standard corporate</x:v>
      </x:c>
      <x:c r="G17" s="27" t="n">
        <x:v>2</x:v>
      </x:c>
      <x:c r="H17" s="27" t="n">
        <x:v>20</x:v>
      </x:c>
      <x:c r="I17" s="27" t="n">
        <x:v>0</x:v>
      </x:c>
      <x:c r="J17" s="40" t="n">
        <x:f>IF(F17="Open",H17*I17,IF(F17="Large corporate",(2500+ROUNDUP(MAX(0,H17-20)/10,0)*650)*G17,2500*G17))</x:f>
        <x:v>5000</x:v>
      </x:c>
      <x:c r="K17" s="40" t="n">
        <x:f>G17*700</x:f>
        <x:v>1400</x:v>
      </x:c>
      <x:c r="L17" s="68" t="n">
        <x:f>IF(F17="Large corporate",MAX(0,ROUNDUP(H17/30,0)-1),0)</x:f>
        <x:v>0</x:v>
      </x:c>
      <x:c r="M17" s="40" t="n">
        <x:f>L17*175*G17</x:f>
        <x:v>0</x:v>
      </x:c>
      <x:c r="N17" s="40" t="n">
        <x:f>IF(F17="Open",600*G17,0)</x:f>
        <x:v>0</x:v>
      </x:c>
      <x:c r="O17" s="40" t="n">
        <x:v>400</x:v>
      </x:c>
      <x:c r="P17" s="40" t="n">
        <x:f>H17*15*G17</x:f>
        <x:v>600</x:v>
      </x:c>
      <x:c r="Q17" s="40" t="n">
        <x:f>J17*5%</x:f>
        <x:v>250</x:v>
      </x:c>
      <x:c r="R17" s="40" t="n">
        <x:f>SUM(K17,M17:Q17)</x:f>
        <x:v>2650</x:v>
      </x:c>
      <x:c r="S17" s="40" t="n">
        <x:f>J17-R17</x:f>
        <x:v>2350</x:v>
      </x:c>
      <x:c r="T17" s="85" t="n">
        <x:f>S17/J17</x:f>
        <x:v>0.47</x:v>
      </x:c>
    </x:row>
    <x:row r="18">
      <x:c r="B18" s="27" t="str">
        <x:v>P12</x:v>
      </x:c>
      <x:c r="C18" s="27" t="str">
        <x:v>Jun</x:v>
      </x:c>
      <x:c r="D18" s="27" t="str">
        <x:v>Mark Pressure</x:v>
      </x:c>
      <x:c r="E18" s="27" t="str">
        <x:v>Call Until They Buy</x:v>
      </x:c>
      <x:c r="F18" s="27" t="str">
        <x:v>Large corporate</x:v>
      </x:c>
      <x:c r="G18" s="27" t="n">
        <x:v>2</x:v>
      </x:c>
      <x:c r="H18" s="27" t="n">
        <x:v>70</x:v>
      </x:c>
      <x:c r="I18" s="27" t="n">
        <x:v>0</x:v>
      </x:c>
      <x:c r="J18" s="40" t="n">
        <x:f>IF(F18="Open",H18*I18,IF(F18="Large corporate",(2500+ROUNDUP(MAX(0,H18-20)/10,0)*650)*G18,2500*G18))</x:f>
        <x:v>11500</x:v>
      </x:c>
      <x:c r="K18" s="40" t="n">
        <x:f>G18*700</x:f>
        <x:v>1400</x:v>
      </x:c>
      <x:c r="L18" s="68" t="n">
        <x:f>IF(F18="Large corporate",MAX(0,ROUNDUP(H18/30,0)-1),0)</x:f>
        <x:v>2</x:v>
      </x:c>
      <x:c r="M18" s="40" t="n">
        <x:f>L18*175*G18</x:f>
        <x:v>700</x:v>
      </x:c>
      <x:c r="N18" s="40" t="n">
        <x:f>IF(F18="Open",600*G18,0)</x:f>
        <x:v>0</x:v>
      </x:c>
      <x:c r="O18" s="40" t="n">
        <x:v>600</x:v>
      </x:c>
      <x:c r="P18" s="40" t="n">
        <x:f>H18*15*G18</x:f>
        <x:v>2100</x:v>
      </x:c>
      <x:c r="Q18" s="40" t="n">
        <x:f>J18*5%</x:f>
        <x:v>575</x:v>
      </x:c>
      <x:c r="R18" s="40" t="n">
        <x:f>SUM(K18,M18:Q18)</x:f>
        <x:v>5375</x:v>
      </x:c>
      <x:c r="S18" s="40" t="n">
        <x:f>J18-R18</x:f>
        <x:v>6125</x:v>
      </x:c>
      <x:c r="T18" s="85" t="n">
        <x:f>S18/J18</x:f>
        <x:v>0.532608695652174</x:v>
      </x:c>
    </x:row>
    <x:row r="19">
      <x:c r="B19" s="27" t="str">
        <x:v>P13</x:v>
      </x:c>
      <x:c r="C19" s="27" t="str">
        <x:v>Jul</x:v>
      </x:c>
      <x:c r="D19" s="27" t="str">
        <x:v>Peter Late</x:v>
      </x:c>
      <x:c r="E19" s="27" t="str">
        <x:v>Meetings About Meetings</x:v>
      </x:c>
      <x:c r="F19" s="27" t="str">
        <x:v>Standard corporate</x:v>
      </x:c>
      <x:c r="G19" s="27" t="n">
        <x:v>1</x:v>
      </x:c>
      <x:c r="H19" s="27" t="n">
        <x:v>20</x:v>
      </x:c>
      <x:c r="I19" s="27" t="n">
        <x:v>0</x:v>
      </x:c>
      <x:c r="J19" s="40" t="n">
        <x:f>IF(F19="Open",H19*I19,IF(F19="Large corporate",(2500+ROUNDUP(MAX(0,H19-20)/10,0)*650)*G19,2500*G19))</x:f>
        <x:v>2500</x:v>
      </x:c>
      <x:c r="K19" s="40" t="n">
        <x:f>G19*700</x:f>
        <x:v>700</x:v>
      </x:c>
      <x:c r="L19" s="68" t="n">
        <x:f>IF(F19="Large corporate",MAX(0,ROUNDUP(H19/30,0)-1),0)</x:f>
        <x:v>0</x:v>
      </x:c>
      <x:c r="M19" s="40" t="n">
        <x:f>L19*175*G19</x:f>
        <x:v>0</x:v>
      </x:c>
      <x:c r="N19" s="40" t="n">
        <x:f>IF(F19="Open",600*G19,0)</x:f>
        <x:v>0</x:v>
      </x:c>
      <x:c r="O19" s="40" t="n">
        <x:v>0</x:v>
      </x:c>
      <x:c r="P19" s="40" t="n">
        <x:f>H19*15*G19</x:f>
        <x:v>300</x:v>
      </x:c>
      <x:c r="Q19" s="40" t="n">
        <x:f>J19*5%</x:f>
        <x:v>125</x:v>
      </x:c>
      <x:c r="R19" s="40" t="n">
        <x:f>SUM(K19,M19:Q19)</x:f>
        <x:v>1125</x:v>
      </x:c>
      <x:c r="S19" s="40" t="n">
        <x:f>J19-R19</x:f>
        <x:v>1375</x:v>
      </x:c>
      <x:c r="T19" s="85" t="n">
        <x:f>S19/J19</x:f>
        <x:v>0.55</x:v>
      </x:c>
    </x:row>
    <x:row r="20">
      <x:c r="B20" s="27" t="str">
        <x:v>P14</x:v>
      </x:c>
      <x:c r="C20" s="27" t="str">
        <x:v>Aug</x:v>
      </x:c>
      <x:c r="D20" s="27" t="str">
        <x:v>Ella Fast</x:v>
      </x:c>
      <x:c r="E20" s="27" t="str">
        <x:v>Promise First Ask Later</x:v>
      </x:c>
      <x:c r="F20" s="27" t="str">
        <x:v>Standard corporate</x:v>
      </x:c>
      <x:c r="G20" s="27" t="n">
        <x:v>2</x:v>
      </x:c>
      <x:c r="H20" s="27" t="n">
        <x:v>20</x:v>
      </x:c>
      <x:c r="I20" s="27" t="n">
        <x:v>0</x:v>
      </x:c>
      <x:c r="J20" s="40" t="n">
        <x:f>IF(F20="Open",H20*I20,IF(F20="Large corporate",(2500+ROUNDUP(MAX(0,H20-20)/10,0)*650)*G20,2500*G20))</x:f>
        <x:v>5000</x:v>
      </x:c>
      <x:c r="K20" s="40" t="n">
        <x:f>G20*700</x:f>
        <x:v>1400</x:v>
      </x:c>
      <x:c r="L20" s="68" t="n">
        <x:f>IF(F20="Large corporate",MAX(0,ROUNDUP(H20/30,0)-1),0)</x:f>
        <x:v>0</x:v>
      </x:c>
      <x:c r="M20" s="40" t="n">
        <x:f>L20*175*G20</x:f>
        <x:v>0</x:v>
      </x:c>
      <x:c r="N20" s="40" t="n">
        <x:f>IF(F20="Open",600*G20,0)</x:f>
        <x:v>0</x:v>
      </x:c>
      <x:c r="O20" s="40" t="n">
        <x:v>500</x:v>
      </x:c>
      <x:c r="P20" s="40" t="n">
        <x:f>H20*15*G20</x:f>
        <x:v>600</x:v>
      </x:c>
      <x:c r="Q20" s="40" t="n">
        <x:f>J20*5%</x:f>
        <x:v>250</x:v>
      </x:c>
      <x:c r="R20" s="40" t="n">
        <x:f>SUM(K20,M20:Q20)</x:f>
        <x:v>2750</x:v>
      </x:c>
      <x:c r="S20" s="40" t="n">
        <x:f>J20-R20</x:f>
        <x:v>2250</x:v>
      </x:c>
      <x:c r="T20" s="85" t="n">
        <x:f>S20/J20</x:f>
        <x:v>0.45</x:v>
      </x:c>
    </x:row>
    <x:row r="21">
      <x:c r="B21" s="27" t="str">
        <x:v>P15</x:v>
      </x:c>
      <x:c r="C21" s="27" t="str">
        <x:v>Aug</x:v>
      </x:c>
      <x:c r="D21" s="27" t="str">
        <x:v>Linda Smile</x:v>
      </x:c>
      <x:c r="E21" s="27" t="str">
        <x:v>How to Look Busy All Day</x:v>
      </x:c>
      <x:c r="F21" s="27" t="str">
        <x:v>Open</x:v>
      </x:c>
      <x:c r="G21" s="27" t="n">
        <x:v>1</x:v>
      </x:c>
      <x:c r="H21" s="27" t="n">
        <x:v>20</x:v>
      </x:c>
      <x:c r="I21" s="27" t="n">
        <x:v>200</x:v>
      </x:c>
      <x:c r="J21" s="40" t="n">
        <x:f>IF(F21="Open",H21*I21,IF(F21="Large corporate",(2500+ROUNDUP(MAX(0,H21-20)/10,0)*650)*G21,2500*G21))</x:f>
        <x:v>4000</x:v>
      </x:c>
      <x:c r="K21" s="40" t="n">
        <x:f>G21*700</x:f>
        <x:v>700</x:v>
      </x:c>
      <x:c r="L21" s="68" t="n">
        <x:f>IF(F21="Large corporate",MAX(0,ROUNDUP(H21/30,0)-1),0)</x:f>
        <x:v>0</x:v>
      </x:c>
      <x:c r="M21" s="40" t="n">
        <x:f>L21*175*G21</x:f>
        <x:v>0</x:v>
      </x:c>
      <x:c r="N21" s="40" t="n">
        <x:f>IF(F21="Open",600*G21,0)</x:f>
        <x:v>600</x:v>
      </x:c>
      <x:c r="O21" s="40" t="n">
        <x:v>0</x:v>
      </x:c>
      <x:c r="P21" s="40" t="n">
        <x:f>H21*15*G21</x:f>
        <x:v>300</x:v>
      </x:c>
      <x:c r="Q21" s="40" t="n">
        <x:f>J21*5%</x:f>
        <x:v>200</x:v>
      </x:c>
      <x:c r="R21" s="40" t="n">
        <x:f>SUM(K21,M21:Q21)</x:f>
        <x:v>1800</x:v>
      </x:c>
      <x:c r="S21" s="40" t="n">
        <x:f>J21-R21</x:f>
        <x:v>2200</x:v>
      </x:c>
      <x:c r="T21" s="85" t="n">
        <x:f>S21/J21</x:f>
        <x:v>0.55</x:v>
      </x:c>
    </x:row>
    <x:row r="22">
      <x:c r="B22" s="27" t="str">
        <x:v>P16</x:v>
      </x:c>
      <x:c r="C22" s="27" t="str">
        <x:v>Sep</x:v>
      </x:c>
      <x:c r="D22" s="27" t="str">
        <x:v>Anna Power</x:v>
      </x:c>
      <x:c r="E22" s="27" t="str">
        <x:v>Advanced Micromanagement</x:v>
      </x:c>
      <x:c r="F22" s="27" t="str">
        <x:v>Large corporate</x:v>
      </x:c>
      <x:c r="G22" s="27" t="n">
        <x:v>2</x:v>
      </x:c>
      <x:c r="H22" s="27" t="n">
        <x:v>100</x:v>
      </x:c>
      <x:c r="I22" s="27" t="n">
        <x:v>0</x:v>
      </x:c>
      <x:c r="J22" s="40" t="n">
        <x:f>IF(F22="Open",H22*I22,IF(F22="Large corporate",(2500+ROUNDUP(MAX(0,H22-20)/10,0)*650)*G22,2500*G22))</x:f>
        <x:v>15400</x:v>
      </x:c>
      <x:c r="K22" s="40" t="n">
        <x:f>G22*700</x:f>
        <x:v>1400</x:v>
      </x:c>
      <x:c r="L22" s="68" t="n">
        <x:f>IF(F22="Large corporate",MAX(0,ROUNDUP(H22/30,0)-1),0)</x:f>
        <x:v>3</x:v>
      </x:c>
      <x:c r="M22" s="40" t="n">
        <x:f>L22*175*G22</x:f>
        <x:v>1050</x:v>
      </x:c>
      <x:c r="N22" s="40" t="n">
        <x:f>IF(F22="Open",600*G22,0)</x:f>
        <x:v>0</x:v>
      </x:c>
      <x:c r="O22" s="40" t="n">
        <x:v>1200</x:v>
      </x:c>
      <x:c r="P22" s="40" t="n">
        <x:f>H22*15*G22</x:f>
        <x:v>3000</x:v>
      </x:c>
      <x:c r="Q22" s="40" t="n">
        <x:f>J22*5%</x:f>
        <x:v>770</x:v>
      </x:c>
      <x:c r="R22" s="40" t="n">
        <x:f>SUM(K22,M22:Q22)</x:f>
        <x:v>7420</x:v>
      </x:c>
      <x:c r="S22" s="40" t="n">
        <x:f>J22-R22</x:f>
        <x:v>7980</x:v>
      </x:c>
      <x:c r="T22" s="85" t="n">
        <x:f>S22/J22</x:f>
        <x:v>0.5181818181818182</x:v>
      </x:c>
    </x:row>
    <x:row r="23">
      <x:c r="B23" s="27" t="str">
        <x:v>P17</x:v>
      </x:c>
      <x:c r="C23" s="27" t="str">
        <x:v>Sep</x:v>
      </x:c>
      <x:c r="D23" s="27" t="str">
        <x:v>Mark Pressure</x:v>
      </x:c>
      <x:c r="E23" s="27" t="str">
        <x:v>Call Until They Buy</x:v>
      </x:c>
      <x:c r="F23" s="27" t="str">
        <x:v>Standard corporate</x:v>
      </x:c>
      <x:c r="G23" s="27" t="n">
        <x:v>2</x:v>
      </x:c>
      <x:c r="H23" s="27" t="n">
        <x:v>20</x:v>
      </x:c>
      <x:c r="I23" s="27" t="n">
        <x:v>0</x:v>
      </x:c>
      <x:c r="J23" s="40" t="n">
        <x:f>IF(F23="Open",H23*I23,IF(F23="Large corporate",(2500+ROUNDUP(MAX(0,H23-20)/10,0)*650)*G23,2500*G23))</x:f>
        <x:v>5000</x:v>
      </x:c>
      <x:c r="K23" s="40" t="n">
        <x:f>G23*700</x:f>
        <x:v>1400</x:v>
      </x:c>
      <x:c r="L23" s="68" t="n">
        <x:f>IF(F23="Large corporate",MAX(0,ROUNDUP(H23/30,0)-1),0)</x:f>
        <x:v>0</x:v>
      </x:c>
      <x:c r="M23" s="40" t="n">
        <x:f>L23*175*G23</x:f>
        <x:v>0</x:v>
      </x:c>
      <x:c r="N23" s="40" t="n">
        <x:f>IF(F23="Open",600*G23,0)</x:f>
        <x:v>0</x:v>
      </x:c>
      <x:c r="O23" s="40" t="n">
        <x:v>300</x:v>
      </x:c>
      <x:c r="P23" s="40" t="n">
        <x:f>H23*15*G23</x:f>
        <x:v>600</x:v>
      </x:c>
      <x:c r="Q23" s="40" t="n">
        <x:f>J23*5%</x:f>
        <x:v>250</x:v>
      </x:c>
      <x:c r="R23" s="40" t="n">
        <x:f>SUM(K23,M23:Q23)</x:f>
        <x:v>2550</x:v>
      </x:c>
      <x:c r="S23" s="40" t="n">
        <x:f>J23-R23</x:f>
        <x:v>2450</x:v>
      </x:c>
      <x:c r="T23" s="85" t="n">
        <x:f>S23/J23</x:f>
        <x:v>0.49</x:v>
      </x:c>
    </x:row>
    <x:row r="24">
      <x:c r="B24" s="27" t="str">
        <x:v>P18</x:v>
      </x:c>
      <x:c r="C24" s="27" t="str">
        <x:v>Sep</x:v>
      </x:c>
      <x:c r="D24" s="27" t="str">
        <x:v>Linda Smile</x:v>
      </x:c>
      <x:c r="E24" s="27" t="str">
        <x:v>Executive Blame Delegation</x:v>
      </x:c>
      <x:c r="F24" s="27" t="str">
        <x:v>Open</x:v>
      </x:c>
      <x:c r="G24" s="27" t="n">
        <x:v>2</x:v>
      </x:c>
      <x:c r="H24" s="27" t="n">
        <x:v>20</x:v>
      </x:c>
      <x:c r="I24" s="27" t="n">
        <x:v>600</x:v>
      </x:c>
      <x:c r="J24" s="40" t="n">
        <x:f>IF(F24="Open",H24*I24,IF(F24="Large corporate",(2500+ROUNDUP(MAX(0,H24-20)/10,0)*650)*G24,2500*G24))</x:f>
        <x:v>12000</x:v>
      </x:c>
      <x:c r="K24" s="40" t="n">
        <x:f>G24*700</x:f>
        <x:v>1400</x:v>
      </x:c>
      <x:c r="L24" s="68" t="n">
        <x:f>IF(F24="Large corporate",MAX(0,ROUNDUP(H24/30,0)-1),0)</x:f>
        <x:v>0</x:v>
      </x:c>
      <x:c r="M24" s="40" t="n">
        <x:f>L24*175*G24</x:f>
        <x:v>0</x:v>
      </x:c>
      <x:c r="N24" s="40" t="n">
        <x:f>IF(F24="Open",600*G24,0)</x:f>
        <x:v>1200</x:v>
      </x:c>
      <x:c r="O24" s="40" t="n">
        <x:v>0</x:v>
      </x:c>
      <x:c r="P24" s="40" t="n">
        <x:f>H24*15*G24</x:f>
        <x:v>600</x:v>
      </x:c>
      <x:c r="Q24" s="40" t="n">
        <x:f>J24*5%</x:f>
        <x:v>600</x:v>
      </x:c>
      <x:c r="R24" s="40" t="n">
        <x:f>SUM(K24,M24:Q24)</x:f>
        <x:v>3800</x:v>
      </x:c>
      <x:c r="S24" s="40" t="n">
        <x:f>J24-R24</x:f>
        <x:v>8200</x:v>
      </x:c>
      <x:c r="T24" s="85" t="n">
        <x:f>S24/J24</x:f>
        <x:v>0.6833333333333333</x:v>
      </x:c>
    </x:row>
    <x:row r="25">
      <x:c r="B25" s="27" t="str">
        <x:v>P19</x:v>
      </x:c>
      <x:c r="C25" s="27" t="str">
        <x:v>Oct</x:v>
      </x:c>
      <x:c r="D25" s="27" t="str">
        <x:v>Peter Late</x:v>
      </x:c>
      <x:c r="E25" s="27" t="str">
        <x:v>Professional Blame Delegation</x:v>
      </x:c>
      <x:c r="F25" s="27" t="str">
        <x:v>Standard corporate</x:v>
      </x:c>
      <x:c r="G25" s="27" t="n">
        <x:v>2</x:v>
      </x:c>
      <x:c r="H25" s="27" t="n">
        <x:v>20</x:v>
      </x:c>
      <x:c r="I25" s="27" t="n">
        <x:v>0</x:v>
      </x:c>
      <x:c r="J25" s="40" t="n">
        <x:f>IF(F25="Open",H25*I25,IF(F25="Large corporate",(2500+ROUNDUP(MAX(0,H25-20)/10,0)*650)*G25,2500*G25))</x:f>
        <x:v>5000</x:v>
      </x:c>
      <x:c r="K25" s="40" t="n">
        <x:f>G25*700</x:f>
        <x:v>1400</x:v>
      </x:c>
      <x:c r="L25" s="68" t="n">
        <x:f>IF(F25="Large corporate",MAX(0,ROUNDUP(H25/30,0)-1),0)</x:f>
        <x:v>0</x:v>
      </x:c>
      <x:c r="M25" s="40" t="n">
        <x:f>L25*175*G25</x:f>
        <x:v>0</x:v>
      </x:c>
      <x:c r="N25" s="40" t="n">
        <x:f>IF(F25="Open",600*G25,0)</x:f>
        <x:v>0</x:v>
      </x:c>
      <x:c r="O25" s="40" t="n">
        <x:v>0</x:v>
      </x:c>
      <x:c r="P25" s="40" t="n">
        <x:f>H25*15*G25</x:f>
        <x:v>600</x:v>
      </x:c>
      <x:c r="Q25" s="40" t="n">
        <x:f>J25*5%</x:f>
        <x:v>250</x:v>
      </x:c>
      <x:c r="R25" s="40" t="n">
        <x:f>SUM(K25,M25:Q25)</x:f>
        <x:v>2250</x:v>
      </x:c>
      <x:c r="S25" s="40" t="n">
        <x:f>J25-R25</x:f>
        <x:v>2750</x:v>
      </x:c>
      <x:c r="T25" s="85" t="n">
        <x:f>S25/J25</x:f>
        <x:v>0.55</x:v>
      </x:c>
    </x:row>
    <x:row r="26">
      <x:c r="B26" s="27" t="str">
        <x:v>P20</x:v>
      </x:c>
      <x:c r="C26" s="27" t="str">
        <x:v>Oct</x:v>
      </x:c>
      <x:c r="D26" s="27" t="str">
        <x:v>Ella Fast</x:v>
      </x:c>
      <x:c r="E26" s="27" t="str">
        <x:v>Promise First Ask Later</x:v>
      </x:c>
      <x:c r="F26" s="27" t="str">
        <x:v>Large corporate</x:v>
      </x:c>
      <x:c r="G26" s="27" t="n">
        <x:v>1</x:v>
      </x:c>
      <x:c r="H26" s="27" t="n">
        <x:v>50</x:v>
      </x:c>
      <x:c r="I26" s="27" t="n">
        <x:v>0</x:v>
      </x:c>
      <x:c r="J26" s="40" t="n">
        <x:f>IF(F26="Open",H26*I26,IF(F26="Large corporate",(2500+ROUNDUP(MAX(0,H26-20)/10,0)*650)*G26,2500*G26))</x:f>
        <x:v>4450</x:v>
      </x:c>
      <x:c r="K26" s="40" t="n">
        <x:f>G26*700</x:f>
        <x:v>700</x:v>
      </x:c>
      <x:c r="L26" s="68" t="n">
        <x:f>IF(F26="Large corporate",MAX(0,ROUNDUP(H26/30,0)-1),0)</x:f>
        <x:v>1</x:v>
      </x:c>
      <x:c r="M26" s="40" t="n">
        <x:f>L26*175*G26</x:f>
        <x:v>175</x:v>
      </x:c>
      <x:c r="N26" s="40" t="n">
        <x:f>IF(F26="Open",600*G26,0)</x:f>
        <x:v>0</x:v>
      </x:c>
      <x:c r="O26" s="40" t="n">
        <x:v>700</x:v>
      </x:c>
      <x:c r="P26" s="40" t="n">
        <x:f>H26*15*G26</x:f>
        <x:v>750</x:v>
      </x:c>
      <x:c r="Q26" s="40" t="n">
        <x:f>J26*5%</x:f>
        <x:v>222.5</x:v>
      </x:c>
      <x:c r="R26" s="40" t="n">
        <x:f>SUM(K26,M26:Q26)</x:f>
        <x:v>2547.5</x:v>
      </x:c>
      <x:c r="S26" s="40" t="n">
        <x:f>J26-R26</x:f>
        <x:v>1902.5</x:v>
      </x:c>
      <x:c r="T26" s="85" t="n">
        <x:f>S26/J26</x:f>
        <x:v>0.42752808988764046</x:v>
      </x:c>
    </x:row>
    <x:row r="27">
      <x:c r="B27" s="27" t="str">
        <x:v>P21</x:v>
      </x:c>
      <x:c r="C27" s="27" t="str">
        <x:v>Oct</x:v>
      </x:c>
      <x:c r="D27" s="27" t="str">
        <x:v>Linda Smile</x:v>
      </x:c>
      <x:c r="E27" s="27" t="str">
        <x:v>Advanced Micromanagement</x:v>
      </x:c>
      <x:c r="F27" s="27" t="str">
        <x:v>Open</x:v>
      </x:c>
      <x:c r="G27" s="27" t="n">
        <x:v>2</x:v>
      </x:c>
      <x:c r="H27" s="27" t="n">
        <x:v>20</x:v>
      </x:c>
      <x:c r="I27" s="27" t="n">
        <x:v>500</x:v>
      </x:c>
      <x:c r="J27" s="40" t="n">
        <x:f>IF(F27="Open",H27*I27,IF(F27="Large corporate",(2500+ROUNDUP(MAX(0,H27-20)/10,0)*650)*G27,2500*G27))</x:f>
        <x:v>10000</x:v>
      </x:c>
      <x:c r="K27" s="40" t="n">
        <x:f>G27*700</x:f>
        <x:v>1400</x:v>
      </x:c>
      <x:c r="L27" s="68" t="n">
        <x:f>IF(F27="Large corporate",MAX(0,ROUNDUP(H27/30,0)-1),0)</x:f>
        <x:v>0</x:v>
      </x:c>
      <x:c r="M27" s="40" t="n">
        <x:f>L27*175*G27</x:f>
        <x:v>0</x:v>
      </x:c>
      <x:c r="N27" s="40" t="n">
        <x:f>IF(F27="Open",600*G27,0)</x:f>
        <x:v>1200</x:v>
      </x:c>
      <x:c r="O27" s="40" t="n">
        <x:v>0</x:v>
      </x:c>
      <x:c r="P27" s="40" t="n">
        <x:f>H27*15*G27</x:f>
        <x:v>600</x:v>
      </x:c>
      <x:c r="Q27" s="40" t="n">
        <x:f>J27*5%</x:f>
        <x:v>500</x:v>
      </x:c>
      <x:c r="R27" s="40" t="n">
        <x:f>SUM(K27,M27:Q27)</x:f>
        <x:v>3700</x:v>
      </x:c>
      <x:c r="S27" s="40" t="n">
        <x:f>J27-R27</x:f>
        <x:v>6300</x:v>
      </x:c>
      <x:c r="T27" s="85" t="n">
        <x:f>S27/J27</x:f>
        <x:v>0.63</x:v>
      </x:c>
    </x:row>
    <x:row r="28">
      <x:c r="B28" s="27" t="str">
        <x:v>P22</x:v>
      </x:c>
      <x:c r="C28" s="27" t="str">
        <x:v>Nov</x:v>
      </x:c>
      <x:c r="D28" s="27" t="str">
        <x:v>Anna Power</x:v>
      </x:c>
      <x:c r="E28" s="27" t="str">
        <x:v>Meetings About Meetings</x:v>
      </x:c>
      <x:c r="F28" s="27" t="str">
        <x:v>Standard corporate</x:v>
      </x:c>
      <x:c r="G28" s="27" t="n">
        <x:v>2</x:v>
      </x:c>
      <x:c r="H28" s="27" t="n">
        <x:v>20</x:v>
      </x:c>
      <x:c r="I28" s="27" t="n">
        <x:v>0</x:v>
      </x:c>
      <x:c r="J28" s="40" t="n">
        <x:f>IF(F28="Open",H28*I28,IF(F28="Large corporate",(2500+ROUNDUP(MAX(0,H28-20)/10,0)*650)*G28,2500*G28))</x:f>
        <x:v>5000</x:v>
      </x:c>
      <x:c r="K28" s="40" t="n">
        <x:f>G28*700</x:f>
        <x:v>1400</x:v>
      </x:c>
      <x:c r="L28" s="68" t="n">
        <x:f>IF(F28="Large corporate",MAX(0,ROUNDUP(H28/30,0)-1),0)</x:f>
        <x:v>0</x:v>
      </x:c>
      <x:c r="M28" s="40" t="n">
        <x:f>L28*175*G28</x:f>
        <x:v>0</x:v>
      </x:c>
      <x:c r="N28" s="40" t="n">
        <x:f>IF(F28="Open",600*G28,0)</x:f>
        <x:v>0</x:v>
      </x:c>
      <x:c r="O28" s="40" t="n">
        <x:v>250</x:v>
      </x:c>
      <x:c r="P28" s="40" t="n">
        <x:f>H28*15*G28</x:f>
        <x:v>600</x:v>
      </x:c>
      <x:c r="Q28" s="40" t="n">
        <x:f>J28*5%</x:f>
        <x:v>250</x:v>
      </x:c>
      <x:c r="R28" s="40" t="n">
        <x:f>SUM(K28,M28:Q28)</x:f>
        <x:v>2500</x:v>
      </x:c>
      <x:c r="S28" s="40" t="n">
        <x:f>J28-R28</x:f>
        <x:v>2500</x:v>
      </x:c>
      <x:c r="T28" s="85" t="n">
        <x:f>S28/J28</x:f>
        <x:v>0.5</x:v>
      </x:c>
    </x:row>
    <x:row r="29">
      <x:c r="B29" s="27" t="str">
        <x:v>P23</x:v>
      </x:c>
      <x:c r="C29" s="27" t="str">
        <x:v>Nov</x:v>
      </x:c>
      <x:c r="D29" s="27" t="str">
        <x:v>Mark Pressure</x:v>
      </x:c>
      <x:c r="E29" s="27" t="str">
        <x:v>Call Until They Buy</x:v>
      </x:c>
      <x:c r="F29" s="27" t="str">
        <x:v>Large corporate</x:v>
      </x:c>
      <x:c r="G29" s="27" t="n">
        <x:v>2</x:v>
      </x:c>
      <x:c r="H29" s="27" t="n">
        <x:v>80</x:v>
      </x:c>
      <x:c r="I29" s="27" t="n">
        <x:v>0</x:v>
      </x:c>
      <x:c r="J29" s="40" t="n">
        <x:f>IF(F29="Open",H29*I29,IF(F29="Large corporate",(2500+ROUNDUP(MAX(0,H29-20)/10,0)*650)*G29,2500*G29))</x:f>
        <x:v>12800</x:v>
      </x:c>
      <x:c r="K29" s="40" t="n">
        <x:f>G29*700</x:f>
        <x:v>1400</x:v>
      </x:c>
      <x:c r="L29" s="68" t="n">
        <x:f>IF(F29="Large corporate",MAX(0,ROUNDUP(H29/30,0)-1),0)</x:f>
        <x:v>2</x:v>
      </x:c>
      <x:c r="M29" s="40" t="n">
        <x:f>L29*175*G29</x:f>
        <x:v>700</x:v>
      </x:c>
      <x:c r="N29" s="40" t="n">
        <x:f>IF(F29="Open",600*G29,0)</x:f>
        <x:v>0</x:v>
      </x:c>
      <x:c r="O29" s="40" t="n">
        <x:v>800</x:v>
      </x:c>
      <x:c r="P29" s="40" t="n">
        <x:f>H29*15*G29</x:f>
        <x:v>2400</x:v>
      </x:c>
      <x:c r="Q29" s="40" t="n">
        <x:f>J29*5%</x:f>
        <x:v>640</x:v>
      </x:c>
      <x:c r="R29" s="40" t="n">
        <x:f>SUM(K29,M29:Q29)</x:f>
        <x:v>5940</x:v>
      </x:c>
      <x:c r="S29" s="40" t="n">
        <x:f>J29-R29</x:f>
        <x:v>6860</x:v>
      </x:c>
      <x:c r="T29" s="85" t="n">
        <x:f>S29/J29</x:f>
        <x:v>0.5359375</x:v>
      </x:c>
    </x:row>
    <x:row r="30">
      <x:c r="B30" s="27" t="str">
        <x:v>P24</x:v>
      </x:c>
      <x:c r="C30" s="27" t="str">
        <x:v>Nov</x:v>
      </x:c>
      <x:c r="D30" s="27" t="str">
        <x:v>Linda Smile</x:v>
      </x:c>
      <x:c r="E30" s="27" t="str">
        <x:v>How to Look Busy All Day</x:v>
      </x:c>
      <x:c r="F30" s="27" t="str">
        <x:v>Open</x:v>
      </x:c>
      <x:c r="G30" s="27" t="n">
        <x:v>1</x:v>
      </x:c>
      <x:c r="H30" s="27" t="n">
        <x:v>20</x:v>
      </x:c>
      <x:c r="I30" s="27" t="n">
        <x:v>200</x:v>
      </x:c>
      <x:c r="J30" s="40" t="n">
        <x:f>IF(F30="Open",H30*I30,IF(F30="Large corporate",(2500+ROUNDUP(MAX(0,H30-20)/10,0)*650)*G30,2500*G30))</x:f>
        <x:v>4000</x:v>
      </x:c>
      <x:c r="K30" s="40" t="n">
        <x:f>G30*700</x:f>
        <x:v>700</x:v>
      </x:c>
      <x:c r="L30" s="68" t="n">
        <x:f>IF(F30="Large corporate",MAX(0,ROUNDUP(H30/30,0)-1),0)</x:f>
        <x:v>0</x:v>
      </x:c>
      <x:c r="M30" s="40" t="n">
        <x:f>L30*175*G30</x:f>
        <x:v>0</x:v>
      </x:c>
      <x:c r="N30" s="40" t="n">
        <x:f>IF(F30="Open",600*G30,0)</x:f>
        <x:v>600</x:v>
      </x:c>
      <x:c r="O30" s="40" t="n">
        <x:v>0</x:v>
      </x:c>
      <x:c r="P30" s="40" t="n">
        <x:f>H30*15*G30</x:f>
        <x:v>300</x:v>
      </x:c>
      <x:c r="Q30" s="40" t="n">
        <x:f>J30*5%</x:f>
        <x:v>200</x:v>
      </x:c>
      <x:c r="R30" s="40" t="n">
        <x:f>SUM(K30,M30:Q30)</x:f>
        <x:v>1800</x:v>
      </x:c>
      <x:c r="S30" s="40" t="n">
        <x:f>J30-R30</x:f>
        <x:v>2200</x:v>
      </x:c>
      <x:c r="T30" s="85" t="n">
        <x:f>S30/J30</x:f>
        <x:v>0.55</x:v>
      </x:c>
    </x:row>
    <x:row r="31">
      <x:c r="B31" s="27" t="str">
        <x:v>P25</x:v>
      </x:c>
      <x:c r="C31" s="27" t="str">
        <x:v>Dec</x:v>
      </x:c>
      <x:c r="D31" s="27" t="str">
        <x:v>Peter Late</x:v>
      </x:c>
      <x:c r="E31" s="27" t="str">
        <x:v>Professional Blame Delegation</x:v>
      </x:c>
      <x:c r="F31" s="27" t="str">
        <x:v>Standard corporate</x:v>
      </x:c>
      <x:c r="G31" s="27" t="n">
        <x:v>1</x:v>
      </x:c>
      <x:c r="H31" s="27" t="n">
        <x:v>20</x:v>
      </x:c>
      <x:c r="I31" s="27" t="n">
        <x:v>0</x:v>
      </x:c>
      <x:c r="J31" s="40" t="n">
        <x:f>IF(F31="Open",H31*I31,IF(F31="Large corporate",(2500+ROUNDUP(MAX(0,H31-20)/10,0)*650)*G31,2500*G31))</x:f>
        <x:v>2500</x:v>
      </x:c>
      <x:c r="K31" s="40" t="n">
        <x:f>G31*700</x:f>
        <x:v>700</x:v>
      </x:c>
      <x:c r="L31" s="68" t="n">
        <x:f>IF(F31="Large corporate",MAX(0,ROUNDUP(H31/30,0)-1),0)</x:f>
        <x:v>0</x:v>
      </x:c>
      <x:c r="M31" s="40" t="n">
        <x:f>L31*175*G31</x:f>
        <x:v>0</x:v>
      </x:c>
      <x:c r="N31" s="40" t="n">
        <x:f>IF(F31="Open",600*G31,0)</x:f>
        <x:v>0</x:v>
      </x:c>
      <x:c r="O31" s="40" t="n">
        <x:v>0</x:v>
      </x:c>
      <x:c r="P31" s="40" t="n">
        <x:f>H31*15*G31</x:f>
        <x:v>300</x:v>
      </x:c>
      <x:c r="Q31" s="40" t="n">
        <x:f>J31*5%</x:f>
        <x:v>125</x:v>
      </x:c>
      <x:c r="R31" s="40" t="n">
        <x:f>SUM(K31,M31:Q31)</x:f>
        <x:v>1125</x:v>
      </x:c>
      <x:c r="S31" s="40" t="n">
        <x:f>J31-R31</x:f>
        <x:v>1375</x:v>
      </x:c>
      <x:c r="T31" s="85" t="n">
        <x:f>S31/J31</x:f>
        <x:v>0.55</x:v>
      </x:c>
    </x:row>
    <x:row r="32">
      <x:c r="B32" s="27" t="str">
        <x:v>P26</x:v>
      </x:c>
      <x:c r="C32" s="27" t="str">
        <x:v>Dec</x:v>
      </x:c>
      <x:c r="D32" s="27" t="str">
        <x:v>Ella Fast</x:v>
      </x:c>
      <x:c r="E32" s="27" t="str">
        <x:v>Advanced Micromanagement</x:v>
      </x:c>
      <x:c r="F32" s="27" t="str">
        <x:v>Standard corporate</x:v>
      </x:c>
      <x:c r="G32" s="27" t="n">
        <x:v>2</x:v>
      </x:c>
      <x:c r="H32" s="27" t="n">
        <x:v>20</x:v>
      </x:c>
      <x:c r="I32" s="27" t="n">
        <x:v>0</x:v>
      </x:c>
      <x:c r="J32" s="40" t="n">
        <x:f>IF(F32="Open",H32*I32,IF(F32="Large corporate",(2500+ROUNDUP(MAX(0,H32-20)/10,0)*650)*G32,2500*G32))</x:f>
        <x:v>5000</x:v>
      </x:c>
      <x:c r="K32" s="40" t="n">
        <x:f>G32*700</x:f>
        <x:v>1400</x:v>
      </x:c>
      <x:c r="L32" s="68" t="n">
        <x:f>IF(F32="Large corporate",MAX(0,ROUNDUP(H32/30,0)-1),0)</x:f>
        <x:v>0</x:v>
      </x:c>
      <x:c r="M32" s="40" t="n">
        <x:f>L32*175*G32</x:f>
        <x:v>0</x:v>
      </x:c>
      <x:c r="N32" s="40" t="n">
        <x:f>IF(F32="Open",600*G32,0)</x:f>
        <x:v>0</x:v>
      </x:c>
      <x:c r="O32" s="40" t="n">
        <x:v>450</x:v>
      </x:c>
      <x:c r="P32" s="40" t="n">
        <x:f>H32*15*G32</x:f>
        <x:v>600</x:v>
      </x:c>
      <x:c r="Q32" s="40" t="n">
        <x:f>J32*5%</x:f>
        <x:v>250</x:v>
      </x:c>
      <x:c r="R32" s="40" t="n">
        <x:f>SUM(K32,M32:Q32)</x:f>
        <x:v>2700</x:v>
      </x:c>
      <x:c r="S32" s="40" t="n">
        <x:f>J32-R32</x:f>
        <x:v>2300</x:v>
      </x:c>
      <x:c r="T32" s="85" t="n">
        <x:f>S32/J32</x:f>
        <x:v>0.46</x:v>
      </x:c>
    </x:row>
    <x:row r="33">
      <x:c r="B33" s="27"/>
      <x:c r="C33" s="27"/>
      <x:c r="D33" s="27"/>
      <x:c r="E33" s="27"/>
      <x:c r="F33" s="27"/>
      <x:c r="G33" s="27"/>
      <x:c r="H33" s="27"/>
      <x:c r="I33" s="27"/>
      <x:c r="J33" s="40"/>
      <x:c r="K33" s="40"/>
      <x:c r="L33" s="68"/>
      <x:c r="M33" s="40"/>
      <x:c r="N33" s="40"/>
      <x:c r="O33" s="40"/>
      <x:c r="P33" s="40"/>
      <x:c r="Q33" s="40"/>
      <x:c r="R33" s="40"/>
      <x:c r="S33" s="40"/>
      <x:c r="T33" s="85"/>
    </x:row>
    <x:row r="34">
      <x:c r="B34" s="78" t="str">
        <x:v>TOTAL</x:v>
      </x:c>
      <x:c r="C34" s="78" t="str"/>
      <x:c r="D34" s="78" t="str"/>
      <x:c r="E34" s="78" t="str"/>
      <x:c r="F34" s="78" t="str"/>
      <x:c r="G34" s="78" t="str"/>
      <x:c r="H34" s="78" t="str"/>
      <x:c r="I34" s="78" t="str"/>
      <x:c r="J34" s="79" t="n">
        <x:f>SUM(J7:J32)</x:f>
        <x:v>170800</x:v>
      </x:c>
      <x:c r="K34" s="79" t="n">
        <x:f>SUM(K7:K32)</x:f>
        <x:v>30100</x:v>
      </x:c>
      <x:c r="L34" s="86" t="n">
        <x:f>SUM(L7:L32)</x:f>
        <x:v>11</x:v>
      </x:c>
      <x:c r="M34" s="79" t="n">
        <x:f>SUM(M7:M32)</x:f>
        <x:v>3325</x:v>
      </x:c>
      <x:c r="N34" s="79" t="n">
        <x:f>SUM(N7:N32)</x:f>
        <x:v>6600</x:v>
      </x:c>
      <x:c r="O34" s="79" t="n">
        <x:f>SUM(O7:O32)</x:f>
        <x:v>7450</x:v>
      </x:c>
      <x:c r="P34" s="79" t="n">
        <x:f>SUM(P7:P32)</x:f>
        <x:v>21180</x:v>
      </x:c>
      <x:c r="Q34" s="79" t="n">
        <x:f>SUM(Q7:Q32)</x:f>
        <x:v>8540</x:v>
      </x:c>
      <x:c r="R34" s="79" t="n">
        <x:f>SUM(R7:R32)</x:f>
        <x:v>77195</x:v>
      </x:c>
      <x:c r="S34" s="79" t="n">
        <x:f>SUM(S7:S32)</x:f>
        <x:v>93605</x:v>
      </x:c>
      <x:c r="T34" s="80" t="n">
        <x:f>S34/J34</x:f>
        <x:v>0.5480386416861827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Draft Operating Expenses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2026 monthly operating-expense budget supplied by finance. EUR excluding VAT.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Expense</x:v>
      </x:c>
      <x:c r="C6" s="8" t="str">
        <x:v>Department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Sales salaries</x:v>
      </x:c>
      <x:c r="C7" s="27" t="str">
        <x:v>Sales</x:v>
      </x:c>
      <x:c r="D7" s="40" t="n">
        <x:v>7200</x:v>
      </x:c>
      <x:c r="E7" s="40" t="n">
        <x:v>7200</x:v>
      </x:c>
      <x:c r="F7" s="40" t="n">
        <x:v>7200</x:v>
      </x:c>
      <x:c r="G7" s="40" t="n">
        <x:v>7200</x:v>
      </x:c>
      <x:c r="H7" s="40" t="n">
        <x:v>7200</x:v>
      </x:c>
      <x:c r="I7" s="40" t="n">
        <x:v>7200</x:v>
      </x:c>
      <x:c r="J7" s="40" t="n">
        <x:v>7200</x:v>
      </x:c>
      <x:c r="K7" s="40" t="n">
        <x:v>7200</x:v>
      </x:c>
      <x:c r="L7" s="40" t="n">
        <x:v>7200</x:v>
      </x:c>
      <x:c r="M7" s="40" t="n">
        <x:v>7200</x:v>
      </x:c>
      <x:c r="N7" s="40" t="n">
        <x:v>7200</x:v>
      </x:c>
      <x:c r="O7" s="40" t="n">
        <x:v>7200</x:v>
      </x:c>
      <x:c r="P7" s="40" t="n">
        <x:f>SUM(D7:O7)</x:f>
        <x:v>86400</x:v>
      </x:c>
    </x:row>
    <x:row r="8">
      <x:c r="B8" s="27" t="str">
        <x:v>Delivery team salaries</x:v>
      </x:c>
      <x:c r="C8" s="27" t="str">
        <x:v>Operations</x:v>
      </x:c>
      <x:c r="D8" s="40" t="n">
        <x:v>2500</x:v>
      </x:c>
      <x:c r="E8" s="40" t="n">
        <x:v>2500</x:v>
      </x:c>
      <x:c r="F8" s="40" t="n">
        <x:v>2500</x:v>
      </x:c>
      <x:c r="G8" s="40" t="n">
        <x:v>2500</x:v>
      </x:c>
      <x:c r="H8" s="40" t="n">
        <x:v>2500</x:v>
      </x:c>
      <x:c r="I8" s="40" t="n">
        <x:v>2500</x:v>
      </x:c>
      <x:c r="J8" s="40" t="n">
        <x:v>2500</x:v>
      </x:c>
      <x:c r="K8" s="40" t="n">
        <x:v>2500</x:v>
      </x:c>
      <x:c r="L8" s="40" t="n">
        <x:v>2500</x:v>
      </x:c>
      <x:c r="M8" s="40" t="n">
        <x:v>2500</x:v>
      </x:c>
      <x:c r="N8" s="40" t="n">
        <x:v>2500</x:v>
      </x:c>
      <x:c r="O8" s="40" t="n">
        <x:v>2500</x:v>
      </x:c>
      <x:c r="P8" s="40" t="n">
        <x:f>SUM(D8:O8)</x:f>
        <x:v>30000</x:v>
      </x:c>
    </x:row>
    <x:row r="9">
      <x:c r="B9" s="27" t="str">
        <x:v>Administration salaries</x:v>
      </x:c>
      <x:c r="C9" s="27" t="str">
        <x:v>Administration</x:v>
      </x:c>
      <x:c r="D9" s="40" t="n">
        <x:v>2000</x:v>
      </x:c>
      <x:c r="E9" s="40" t="n">
        <x:v>2000</x:v>
      </x:c>
      <x:c r="F9" s="40" t="n">
        <x:v>2000</x:v>
      </x:c>
      <x:c r="G9" s="40" t="n">
        <x:v>2000</x:v>
      </x:c>
      <x:c r="H9" s="40" t="n">
        <x:v>2000</x:v>
      </x:c>
      <x:c r="I9" s="40" t="n">
        <x:v>2000</x:v>
      </x:c>
      <x:c r="J9" s="40" t="n">
        <x:v>2000</x:v>
      </x:c>
      <x:c r="K9" s="40" t="n">
        <x:v>2000</x:v>
      </x:c>
      <x:c r="L9" s="40" t="n">
        <x:v>2000</x:v>
      </x:c>
      <x:c r="M9" s="40" t="n">
        <x:v>2000</x:v>
      </x:c>
      <x:c r="N9" s="40" t="n">
        <x:v>2000</x:v>
      </x:c>
      <x:c r="O9" s="40" t="n">
        <x:v>2000</x:v>
      </x:c>
      <x:c r="P9" s="40" t="n">
        <x:f>SUM(D9:O9)</x:f>
        <x:v>24000</x:v>
      </x:c>
    </x:row>
    <x:row r="10">
      <x:c r="B10" s="27" t="str">
        <x:v>Employer payroll costs</x:v>
      </x:c>
      <x:c r="C10" s="27" t="str">
        <x:v>25% of fixed salaries (case assumption)</x:v>
      </x:c>
      <x:c r="D10" s="40" t="n">
        <x:f>SUM(D7:D9)*25%</x:f>
        <x:v>2925</x:v>
      </x:c>
      <x:c r="E10" s="40" t="n">
        <x:f>SUM(E7:E9)*25%</x:f>
        <x:v>2925</x:v>
      </x:c>
      <x:c r="F10" s="40" t="n">
        <x:f>SUM(F7:F9)*25%</x:f>
        <x:v>2925</x:v>
      </x:c>
      <x:c r="G10" s="40" t="n">
        <x:f>SUM(G7:G9)*25%</x:f>
        <x:v>2925</x:v>
      </x:c>
      <x:c r="H10" s="40" t="n">
        <x:f>SUM(H7:H9)*25%</x:f>
        <x:v>2925</x:v>
      </x:c>
      <x:c r="I10" s="40" t="n">
        <x:f>SUM(I7:I9)*25%</x:f>
        <x:v>2925</x:v>
      </x:c>
      <x:c r="J10" s="40" t="n">
        <x:f>SUM(J7:J9)*25%</x:f>
        <x:v>2925</x:v>
      </x:c>
      <x:c r="K10" s="40" t="n">
        <x:f>SUM(K7:K9)*25%</x:f>
        <x:v>2925</x:v>
      </x:c>
      <x:c r="L10" s="40" t="n">
        <x:f>SUM(L7:L9)*25%</x:f>
        <x:v>2925</x:v>
      </x:c>
      <x:c r="M10" s="40" t="n">
        <x:f>SUM(M7:M9)*25%</x:f>
        <x:v>2925</x:v>
      </x:c>
      <x:c r="N10" s="40" t="n">
        <x:f>SUM(N7:N9)*25%</x:f>
        <x:v>2925</x:v>
      </x:c>
      <x:c r="O10" s="40" t="n">
        <x:f>SUM(O7:O9)*25%</x:f>
        <x:v>2925</x:v>
      </x:c>
      <x:c r="P10" s="40" t="n">
        <x:f>SUM(D10:O10)</x:f>
        <x:v>35100</x:v>
      </x:c>
    </x:row>
    <x:row r="11">
      <x:c r="B11" s="27" t="str">
        <x:v>Marketing</x:v>
      </x:c>
      <x:c r="C11" s="27" t="str">
        <x:v>Marketing</x:v>
      </x:c>
      <x:c r="D11" s="40" t="n">
        <x:v>5500</x:v>
      </x:c>
      <x:c r="E11" s="40" t="n">
        <x:v>5000</x:v>
      </x:c>
      <x:c r="F11" s="40" t="n">
        <x:v>5000</x:v>
      </x:c>
      <x:c r="G11" s="40" t="n">
        <x:v>4500</x:v>
      </x:c>
      <x:c r="H11" s="40" t="n">
        <x:v>4000</x:v>
      </x:c>
      <x:c r="I11" s="40" t="n">
        <x:v>3500</x:v>
      </x:c>
      <x:c r="J11" s="40" t="n">
        <x:v>2000</x:v>
      </x:c>
      <x:c r="K11" s="40" t="n">
        <x:v>3000</x:v>
      </x:c>
      <x:c r="L11" s="40" t="n">
        <x:v>5500</x:v>
      </x:c>
      <x:c r="M11" s="40" t="n">
        <x:v>6000</x:v>
      </x:c>
      <x:c r="N11" s="40" t="n">
        <x:v>5000</x:v>
      </x:c>
      <x:c r="O11" s="40" t="n">
        <x:v>3500</x:v>
      </x:c>
      <x:c r="P11" s="40" t="n">
        <x:f>SUM(D11:O11)</x:f>
        <x:v>52500</x:v>
      </x:c>
    </x:row>
    <x:row r="12">
      <x:c r="B12" s="27" t="str">
        <x:v>Office rent and utilities</x:v>
      </x:c>
      <x:c r="C12" s="27" t="str">
        <x:v>Administration</x:v>
      </x:c>
      <x:c r="D12" s="40" t="n">
        <x:v>1800</x:v>
      </x:c>
      <x:c r="E12" s="40" t="n">
        <x:v>1800</x:v>
      </x:c>
      <x:c r="F12" s="40" t="n">
        <x:v>1800</x:v>
      </x:c>
      <x:c r="G12" s="40" t="n">
        <x:v>1800</x:v>
      </x:c>
      <x:c r="H12" s="40" t="n">
        <x:v>1800</x:v>
      </x:c>
      <x:c r="I12" s="40" t="n">
        <x:v>1800</x:v>
      </x:c>
      <x:c r="J12" s="40" t="n">
        <x:v>1800</x:v>
      </x:c>
      <x:c r="K12" s="40" t="n">
        <x:v>1800</x:v>
      </x:c>
      <x:c r="L12" s="40" t="n">
        <x:v>1800</x:v>
      </x:c>
      <x:c r="M12" s="40" t="n">
        <x:v>1800</x:v>
      </x:c>
      <x:c r="N12" s="40" t="n">
        <x:v>1800</x:v>
      </x:c>
      <x:c r="O12" s="40" t="n">
        <x:v>1800</x:v>
      </x:c>
      <x:c r="P12" s="40" t="n">
        <x:f>SUM(D12:O12)</x:f>
        <x:v>21600</x:v>
      </x:c>
    </x:row>
    <x:row r="13">
      <x:c r="B13" s="27" t="str">
        <x:v>Software</x:v>
      </x:c>
      <x:c r="C13" s="27" t="str">
        <x:v>Administration</x:v>
      </x:c>
      <x:c r="D13" s="40" t="n">
        <x:v>450</x:v>
      </x:c>
      <x:c r="E13" s="40" t="n">
        <x:v>450</x:v>
      </x:c>
      <x:c r="F13" s="40" t="n">
        <x:v>450</x:v>
      </x:c>
      <x:c r="G13" s="40" t="n">
        <x:v>450</x:v>
      </x:c>
      <x:c r="H13" s="40" t="n">
        <x:v>450</x:v>
      </x:c>
      <x:c r="I13" s="40" t="n">
        <x:v>450</x:v>
      </x:c>
      <x:c r="J13" s="40" t="n">
        <x:v>450</x:v>
      </x:c>
      <x:c r="K13" s="40" t="n">
        <x:v>450</x:v>
      </x:c>
      <x:c r="L13" s="40" t="n">
        <x:v>450</x:v>
      </x:c>
      <x:c r="M13" s="40" t="n">
        <x:v>450</x:v>
      </x:c>
      <x:c r="N13" s="40" t="n">
        <x:v>450</x:v>
      </x:c>
      <x:c r="O13" s="40" t="n">
        <x:v>450</x:v>
      </x:c>
      <x:c r="P13" s="40" t="n">
        <x:f>SUM(D13:O13)</x:f>
        <x:v>5400</x:v>
      </x:c>
    </x:row>
    <x:row r="14">
      <x:c r="B14" s="27" t="str">
        <x:v>Accounting and legal</x:v>
      </x:c>
      <x:c r="C14" s="27" t="str">
        <x:v>Administration</x:v>
      </x:c>
      <x:c r="D14" s="40" t="n">
        <x:v>600</x:v>
      </x:c>
      <x:c r="E14" s="40" t="n">
        <x:v>600</x:v>
      </x:c>
      <x:c r="F14" s="40" t="n">
        <x:v>600</x:v>
      </x:c>
      <x:c r="G14" s="40" t="n">
        <x:v>600</x:v>
      </x:c>
      <x:c r="H14" s="40" t="n">
        <x:v>600</x:v>
      </x:c>
      <x:c r="I14" s="40" t="n">
        <x:v>600</x:v>
      </x:c>
      <x:c r="J14" s="40" t="n">
        <x:v>600</x:v>
      </x:c>
      <x:c r="K14" s="40" t="n">
        <x:v>600</x:v>
      </x:c>
      <x:c r="L14" s="40" t="n">
        <x:v>600</x:v>
      </x:c>
      <x:c r="M14" s="40" t="n">
        <x:v>600</x:v>
      </x:c>
      <x:c r="N14" s="40" t="n">
        <x:v>600</x:v>
      </x:c>
      <x:c r="O14" s="40" t="n">
        <x:v>600</x:v>
      </x:c>
      <x:c r="P14" s="40" t="n">
        <x:f>SUM(D14:O14)</x:f>
        <x:v>7200</x:v>
      </x:c>
    </x:row>
    <x:row r="15">
      <x:c r="B15" s="27" t="str">
        <x:v>Insurance</x:v>
      </x:c>
      <x:c r="C15" s="27" t="str">
        <x:v>Administration</x:v>
      </x:c>
      <x:c r="D15" s="40" t="n">
        <x:v>0</x:v>
      </x:c>
      <x:c r="E15" s="40" t="n">
        <x:v>0</x:v>
      </x:c>
      <x:c r="F15" s="40" t="n">
        <x:v>0</x:v>
      </x:c>
      <x:c r="G15" s="40" t="n">
        <x:v>1800</x:v>
      </x:c>
      <x:c r="H15" s="40" t="n">
        <x:v>0</x:v>
      </x:c>
      <x:c r="I15" s="40" t="n">
        <x:v>0</x:v>
      </x:c>
      <x:c r="J15" s="40" t="n">
        <x:v>0</x:v>
      </x:c>
      <x:c r="K15" s="40" t="n">
        <x:v>0</x:v>
      </x:c>
      <x:c r="L15" s="40" t="n">
        <x:v>0</x:v>
      </x:c>
      <x:c r="M15" s="40" t="n">
        <x:v>0</x:v>
      </x:c>
      <x:c r="N15" s="40" t="n">
        <x:v>0</x:v>
      </x:c>
      <x:c r="O15" s="40" t="n">
        <x:v>0</x:v>
      </x:c>
      <x:c r="P15" s="40" t="n">
        <x:f>SUM(D15:O15)</x:f>
        <x:v>1800</x:v>
      </x:c>
    </x:row>
    <x:row r="16">
      <x:c r="B16" s="27" t="str">
        <x:v>Administration travel</x:v>
      </x:c>
      <x:c r="C16" s="27" t="str">
        <x:v>Administration</x:v>
      </x:c>
      <x:c r="D16" s="40" t="n">
        <x:v>350</x:v>
      </x:c>
      <x:c r="E16" s="40" t="n">
        <x:v>350</x:v>
      </x:c>
      <x:c r="F16" s="40" t="n">
        <x:v>350</x:v>
      </x:c>
      <x:c r="G16" s="40" t="n">
        <x:v>350</x:v>
      </x:c>
      <x:c r="H16" s="40" t="n">
        <x:v>350</x:v>
      </x:c>
      <x:c r="I16" s="40" t="n">
        <x:v>350</x:v>
      </x:c>
      <x:c r="J16" s="40" t="n">
        <x:v>350</x:v>
      </x:c>
      <x:c r="K16" s="40" t="n">
        <x:v>350</x:v>
      </x:c>
      <x:c r="L16" s="40" t="n">
        <x:v>350</x:v>
      </x:c>
      <x:c r="M16" s="40" t="n">
        <x:v>350</x:v>
      </x:c>
      <x:c r="N16" s="40" t="n">
        <x:v>350</x:v>
      </x:c>
      <x:c r="O16" s="40" t="n">
        <x:v>350</x:v>
      </x:c>
      <x:c r="P16" s="40" t="n">
        <x:f>SUM(D16:O16)</x:f>
        <x:v>4200</x:v>
      </x:c>
    </x:row>
    <x:row r="17">
      <x:c r="B17" s="27" t="str">
        <x:v>Depreciation</x:v>
      </x:c>
      <x:c r="C17" s="27" t="str">
        <x:v>Finance</x:v>
      </x:c>
      <x:c r="D17" s="40" t="n">
        <x:v>800</x:v>
      </x:c>
      <x:c r="E17" s="40" t="n">
        <x:v>800</x:v>
      </x:c>
      <x:c r="F17" s="40" t="n">
        <x:v>800</x:v>
      </x:c>
      <x:c r="G17" s="40" t="n">
        <x:v>800</x:v>
      </x:c>
      <x:c r="H17" s="40" t="n">
        <x:v>800</x:v>
      </x:c>
      <x:c r="I17" s="40" t="n">
        <x:v>800</x:v>
      </x:c>
      <x:c r="J17" s="40" t="n">
        <x:v>800</x:v>
      </x:c>
      <x:c r="K17" s="40" t="n">
        <x:v>800</x:v>
      </x:c>
      <x:c r="L17" s="40" t="n">
        <x:v>800</x:v>
      </x:c>
      <x:c r="M17" s="40" t="n">
        <x:v>800</x:v>
      </x:c>
      <x:c r="N17" s="40" t="n">
        <x:v>800</x:v>
      </x:c>
      <x:c r="O17" s="40" t="n">
        <x:v>800</x:v>
      </x:c>
      <x:c r="P17" s="40" t="n">
        <x:f>SUM(D17:O17)</x:f>
        <x:v>9600</x:v>
      </x:c>
    </x:row>
    <x:row r="18">
      <x:c r="B18" s="27" t="str">
        <x:v>Interest</x:v>
      </x:c>
      <x:c r="C18" s="27" t="str">
        <x:v>Finance</x:v>
      </x:c>
      <x:c r="D18" s="40" t="n">
        <x:v>250</x:v>
      </x:c>
      <x:c r="E18" s="40" t="n">
        <x:v>250</x:v>
      </x:c>
      <x:c r="F18" s="40" t="n">
        <x:v>250</x:v>
      </x:c>
      <x:c r="G18" s="40" t="n">
        <x:v>250</x:v>
      </x:c>
      <x:c r="H18" s="40" t="n">
        <x:v>250</x:v>
      </x:c>
      <x:c r="I18" s="40" t="n">
        <x:v>250</x:v>
      </x:c>
      <x:c r="J18" s="40" t="n">
        <x:v>250</x:v>
      </x:c>
      <x:c r="K18" s="40" t="n">
        <x:v>250</x:v>
      </x:c>
      <x:c r="L18" s="40" t="n">
        <x:v>250</x:v>
      </x:c>
      <x:c r="M18" s="40" t="n">
        <x:v>250</x:v>
      </x:c>
      <x:c r="N18" s="40" t="n">
        <x:v>250</x:v>
      </x:c>
      <x:c r="O18" s="40" t="n">
        <x:v>250</x:v>
      </x:c>
      <x:c r="P18" s="40" t="n">
        <x:f>SUM(D18:O18)</x:f>
        <x:v>3000</x:v>
      </x:c>
    </x:row>
    <x:row r="19">
      <x:c r="B19" s="27" t="str">
        <x:v>Other expenses</x:v>
      </x:c>
      <x:c r="C19" s="27" t="str">
        <x:v>Administration</x:v>
      </x:c>
      <x:c r="D19" s="40" t="n">
        <x:v>350</x:v>
      </x:c>
      <x:c r="E19" s="40" t="n">
        <x:v>350</x:v>
      </x:c>
      <x:c r="F19" s="40" t="n">
        <x:v>350</x:v>
      </x:c>
      <x:c r="G19" s="40" t="n">
        <x:v>350</x:v>
      </x:c>
      <x:c r="H19" s="40" t="n">
        <x:v>350</x:v>
      </x:c>
      <x:c r="I19" s="40" t="n">
        <x:v>350</x:v>
      </x:c>
      <x:c r="J19" s="40" t="n">
        <x:v>350</x:v>
      </x:c>
      <x:c r="K19" s="40" t="n">
        <x:v>350</x:v>
      </x:c>
      <x:c r="L19" s="40" t="n">
        <x:v>350</x:v>
      </x:c>
      <x:c r="M19" s="40" t="n">
        <x:v>350</x:v>
      </x:c>
      <x:c r="N19" s="40" t="n">
        <x:v>350</x:v>
      </x:c>
      <x:c r="O19" s="40" t="n">
        <x:v>350</x:v>
      </x:c>
      <x:c r="P19" s="40" t="n">
        <x:f>SUM(D19:O19)</x:f>
        <x:v>4200</x:v>
      </x:c>
    </x:row>
    <x:row r="20">
      <x:c r="B20" s="27"/>
      <x:c r="C20" s="27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</x:row>
    <x:row r="21">
      <x:c r="B21" s="78" t="str">
        <x:v>TOTAL</x:v>
      </x:c>
      <x:c r="C21" s="78" t="str">
        <x:v>All departments</x:v>
      </x:c>
      <x:c r="D21" s="79" t="n">
        <x:f>SUM(D7:D19)</x:f>
        <x:v>24725</x:v>
      </x:c>
      <x:c r="E21" s="79" t="n">
        <x:f>SUM(E7:E19)</x:f>
        <x:v>24225</x:v>
      </x:c>
      <x:c r="F21" s="79" t="n">
        <x:f>SUM(F7:F19)</x:f>
        <x:v>24225</x:v>
      </x:c>
      <x:c r="G21" s="79" t="n">
        <x:f>SUM(G7:G19)</x:f>
        <x:v>25525</x:v>
      </x:c>
      <x:c r="H21" s="79" t="n">
        <x:f>SUM(H7:H19)</x:f>
        <x:v>23225</x:v>
      </x:c>
      <x:c r="I21" s="79" t="n">
        <x:f>SUM(I7:I19)</x:f>
        <x:v>22725</x:v>
      </x:c>
      <x:c r="J21" s="79" t="n">
        <x:f>SUM(J7:J19)</x:f>
        <x:v>21225</x:v>
      </x:c>
      <x:c r="K21" s="79" t="n">
        <x:f>SUM(K7:K19)</x:f>
        <x:v>22225</x:v>
      </x:c>
      <x:c r="L21" s="79" t="n">
        <x:f>SUM(L7:L19)</x:f>
        <x:v>24725</x:v>
      </x:c>
      <x:c r="M21" s="79" t="n">
        <x:f>SUM(M7:M19)</x:f>
        <x:v>25225</x:v>
      </x:c>
      <x:c r="N21" s="79" t="n">
        <x:f>SUM(N7:N19)</x:f>
        <x:v>24225</x:v>
      </x:c>
      <x:c r="O21" s="79" t="n">
        <x:f>SUM(O7:O19)</x:f>
        <x:v>22725</x:v>
      </x:c>
      <x:c r="P21" s="79" t="n">
        <x:f>SUM(P7:P19)</x:f>
        <x:v>285000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Draft Profit and Loss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Original 2026 departmental budget. Keep unchanged; produce Part 1 in sheet 10 and Part 2 in sheet 12.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B6" s="8" t="str">
        <x:v>P&amp;L line</x:v>
      </x:c>
      <x:c r="C6" s="8" t="str">
        <x:v>Source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Revenue</x:v>
      </x:c>
      <x:c r="C7" s="27" t="str">
        <x:v>Sales budget</x:v>
      </x:c>
      <x:c r="D7" s="40" t="n">
        <x:f>'05 Draft Sales Budget'!D23</x:f>
        <x:v>55500</x:v>
      </x:c>
      <x:c r="E7" s="40" t="n">
        <x:f>'05 Draft Sales Budget'!E23</x:f>
        <x:v>63000</x:v>
      </x:c>
      <x:c r="F7" s="40" t="n">
        <x:f>'05 Draft Sales Budget'!F23</x:f>
        <x:v>69500</x:v>
      </x:c>
      <x:c r="G7" s="40" t="n">
        <x:f>'05 Draft Sales Budget'!G23</x:f>
        <x:v>80500</x:v>
      </x:c>
      <x:c r="H7" s="40" t="n">
        <x:f>'05 Draft Sales Budget'!H23</x:f>
        <x:v>68000</x:v>
      </x:c>
      <x:c r="I7" s="40" t="n">
        <x:f>'05 Draft Sales Budget'!I23</x:f>
        <x:v>73500</x:v>
      </x:c>
      <x:c r="J7" s="40" t="n">
        <x:f>'05 Draft Sales Budget'!J23</x:f>
        <x:v>60000</x:v>
      </x:c>
      <x:c r="K7" s="40" t="n">
        <x:f>'05 Draft Sales Budget'!K23</x:f>
        <x:v>91500</x:v>
      </x:c>
      <x:c r="L7" s="40" t="n">
        <x:f>'05 Draft Sales Budget'!L23</x:f>
        <x:v>113500</x:v>
      </x:c>
      <x:c r="M7" s="40" t="n">
        <x:f>'05 Draft Sales Budget'!M23</x:f>
        <x:v>124000</x:v>
      </x:c>
      <x:c r="N7" s="40" t="n">
        <x:f>'05 Draft Sales Budget'!N23</x:f>
        <x:v>103500</x:v>
      </x:c>
      <x:c r="O7" s="40" t="n">
        <x:f>'05 Draft Sales Budget'!O23</x:f>
        <x:v>87000</x:v>
      </x:c>
      <x:c r="P7" s="40" t="n">
        <x:f>SUM(D7:O7)</x:f>
        <x:v>989500</x:v>
      </x:c>
    </x:row>
    <x:row r="8">
      <x:c r="B8" s="27" t="str">
        <x:v>Direct program costs</x:v>
      </x:c>
      <x:c r="C8" s="27" t="str">
        <x:v>Program plan</x:v>
      </x:c>
      <x:c r="D8" s="40" t="n">
        <x:f>-SUMIF('06 Draft Program Plan'!$C$7:$C$32,"Jan",'06 Draft Program Plan'!$R$7:$R$32)</x:f>
        <x:v>-4000</x:v>
      </x:c>
      <x:c r="E8" s="40" t="n">
        <x:f>-SUMIF('06 Draft Program Plan'!$C$7:$C$32,"Feb",'06 Draft Program Plan'!$R$7:$R$32)</x:f>
        <x:v>-5955</x:v>
      </x:c>
      <x:c r="F8" s="40" t="n">
        <x:f>-SUMIF('06 Draft Program Plan'!$C$7:$C$32,"Mar",'06 Draft Program Plan'!$R$7:$R$32)</x:f>
        <x:v>-6250</x:v>
      </x:c>
      <x:c r="G8" s="40" t="n">
        <x:f>-SUMIF('06 Draft Program Plan'!$C$7:$C$32,"Apr",'06 Draft Program Plan'!$R$7:$R$32)</x:f>
        <x:v>-6152.5</x:v>
      </x:c>
      <x:c r="H8" s="40" t="n">
        <x:f>-SUMIF('06 Draft Program Plan'!$C$7:$C$32,"May",'06 Draft Program Plan'!$R$7:$R$32)</x:f>
        <x:v>-4805</x:v>
      </x:c>
      <x:c r="I8" s="40" t="n">
        <x:f>-SUMIF('06 Draft Program Plan'!$C$7:$C$32,"Jun",'06 Draft Program Plan'!$R$7:$R$32)</x:f>
        <x:v>-8025</x:v>
      </x:c>
      <x:c r="J8" s="40" t="n">
        <x:f>-SUMIF('06 Draft Program Plan'!$C$7:$C$32,"Jul",'06 Draft Program Plan'!$R$7:$R$32)</x:f>
        <x:v>-1125</x:v>
      </x:c>
      <x:c r="K8" s="40" t="n">
        <x:f>-SUMIF('06 Draft Program Plan'!$C$7:$C$32,"Aug",'06 Draft Program Plan'!$R$7:$R$32)</x:f>
        <x:v>-4550</x:v>
      </x:c>
      <x:c r="L8" s="40" t="n">
        <x:f>-SUMIF('06 Draft Program Plan'!$C$7:$C$32,"Sep",'06 Draft Program Plan'!$R$7:$R$32)</x:f>
        <x:v>-13770</x:v>
      </x:c>
      <x:c r="M8" s="40" t="n">
        <x:f>-SUMIF('06 Draft Program Plan'!$C$7:$C$32,"Oct",'06 Draft Program Plan'!$R$7:$R$32)</x:f>
        <x:v>-8497.5</x:v>
      </x:c>
      <x:c r="N8" s="40" t="n">
        <x:f>-SUMIF('06 Draft Program Plan'!$C$7:$C$32,"Nov",'06 Draft Program Plan'!$R$7:$R$32)</x:f>
        <x:v>-10240</x:v>
      </x:c>
      <x:c r="O8" s="40" t="n">
        <x:f>-SUMIF('06 Draft Program Plan'!$C$7:$C$32,"Dec",'06 Draft Program Plan'!$R$7:$R$32)</x:f>
        <x:v>-3825</x:v>
      </x:c>
      <x:c r="P8" s="40" t="n">
        <x:f>SUM(D8:O8)</x:f>
        <x:v>-77195</x:v>
      </x:c>
    </x:row>
    <x:row r="9">
      <x:c r="B9" s="59" t="str">
        <x:v>Contribution</x:v>
      </x:c>
      <x:c r="C9" s="59" t="str"/>
      <x:c r="D9" s="60" t="n">
        <x:f>SUM(D7:D8)</x:f>
        <x:v>51500</x:v>
      </x:c>
      <x:c r="E9" s="60" t="n">
        <x:f>SUM(E7:E8)</x:f>
        <x:v>57045</x:v>
      </x:c>
      <x:c r="F9" s="60" t="n">
        <x:f>SUM(F7:F8)</x:f>
        <x:v>63250</x:v>
      </x:c>
      <x:c r="G9" s="60" t="n">
        <x:f>SUM(G7:G8)</x:f>
        <x:v>74347.5</x:v>
      </x:c>
      <x:c r="H9" s="60" t="n">
        <x:f>SUM(H7:H8)</x:f>
        <x:v>63195</x:v>
      </x:c>
      <x:c r="I9" s="60" t="n">
        <x:f>SUM(I7:I8)</x:f>
        <x:v>65475</x:v>
      </x:c>
      <x:c r="J9" s="60" t="n">
        <x:f>SUM(J7:J8)</x:f>
        <x:v>58875</x:v>
      </x:c>
      <x:c r="K9" s="60" t="n">
        <x:f>SUM(K7:K8)</x:f>
        <x:v>86950</x:v>
      </x:c>
      <x:c r="L9" s="60" t="n">
        <x:f>SUM(L7:L8)</x:f>
        <x:v>99730</x:v>
      </x:c>
      <x:c r="M9" s="60" t="n">
        <x:f>SUM(M7:M8)</x:f>
        <x:v>115502.5</x:v>
      </x:c>
      <x:c r="N9" s="60" t="n">
        <x:f>SUM(N7:N8)</x:f>
        <x:v>93260</x:v>
      </x:c>
      <x:c r="O9" s="60" t="n">
        <x:f>SUM(O7:O8)</x:f>
        <x:v>83175</x:v>
      </x:c>
      <x:c r="P9" s="60" t="n">
        <x:f>SUM(D9:O9)</x:f>
        <x:v>912305</x:v>
      </x:c>
    </x:row>
    <x:row r="10">
      <x:c r="B10" s="59" t="str">
        <x:v>Contribution margin</x:v>
      </x:c>
      <x:c r="C10" s="59" t="str"/>
      <x:c r="D10" s="61" t="n">
        <x:f>D9/D7</x:f>
        <x:v>0.9279279279279279</x:v>
      </x:c>
      <x:c r="E10" s="61" t="n">
        <x:f>E9/E7</x:f>
        <x:v>0.9054761904761904</x:v>
      </x:c>
      <x:c r="F10" s="61" t="n">
        <x:f>F9/F7</x:f>
        <x:v>0.9100719424460432</x:v>
      </x:c>
      <x:c r="G10" s="61" t="n">
        <x:f>G9/G7</x:f>
        <x:v>0.9235714285714286</x:v>
      </x:c>
      <x:c r="H10" s="61" t="n">
        <x:f>H9/H7</x:f>
        <x:v>0.9293382352941176</x:v>
      </x:c>
      <x:c r="I10" s="61" t="n">
        <x:f>I9/I7</x:f>
        <x:v>0.8908163265306123</x:v>
      </x:c>
      <x:c r="J10" s="61" t="n">
        <x:f>J9/J7</x:f>
        <x:v>0.98125</x:v>
      </x:c>
      <x:c r="K10" s="61" t="n">
        <x:f>K9/K7</x:f>
        <x:v>0.9502732240437158</x:v>
      </x:c>
      <x:c r="L10" s="61" t="n">
        <x:f>L9/L7</x:f>
        <x:v>0.8786784140969163</x:v>
      </x:c>
      <x:c r="M10" s="61" t="n">
        <x:f>M9/M7</x:f>
        <x:v>0.9314717741935484</x:v>
      </x:c>
      <x:c r="N10" s="61" t="n">
        <x:f>N9/N7</x:f>
        <x:v>0.9010628019323671</x:v>
      </x:c>
      <x:c r="O10" s="61" t="n">
        <x:f>O9/O7</x:f>
        <x:v>0.9560344827586207</x:v>
      </x:c>
      <x:c r="P10" s="61" t="n">
        <x:f>P9/P7</x:f>
        <x:v>0.9219858514401212</x:v>
      </x:c>
    </x:row>
    <x:row r="11">
      <x:c r="B11" s="27" t="str">
        <x:v>Operating expenses</x:v>
      </x:c>
      <x:c r="C11" s="27" t="str">
        <x:v>Expense budget</x:v>
      </x:c>
      <x:c r="D11" s="40" t="n">
        <x:f>-'07 Draft Operating Costs'!D21</x:f>
        <x:v>-24725</x:v>
      </x:c>
      <x:c r="E11" s="40" t="n">
        <x:f>-'07 Draft Operating Costs'!E21</x:f>
        <x:v>-24225</x:v>
      </x:c>
      <x:c r="F11" s="40" t="n">
        <x:f>-'07 Draft Operating Costs'!F21</x:f>
        <x:v>-24225</x:v>
      </x:c>
      <x:c r="G11" s="40" t="n">
        <x:f>-'07 Draft Operating Costs'!G21</x:f>
        <x:v>-25525</x:v>
      </x:c>
      <x:c r="H11" s="40" t="n">
        <x:f>-'07 Draft Operating Costs'!H21</x:f>
        <x:v>-23225</x:v>
      </x:c>
      <x:c r="I11" s="40" t="n">
        <x:f>-'07 Draft Operating Costs'!I21</x:f>
        <x:v>-22725</x:v>
      </x:c>
      <x:c r="J11" s="40" t="n">
        <x:f>-'07 Draft Operating Costs'!J21</x:f>
        <x:v>-21225</x:v>
      </x:c>
      <x:c r="K11" s="40" t="n">
        <x:f>-'07 Draft Operating Costs'!K21</x:f>
        <x:v>-22225</x:v>
      </x:c>
      <x:c r="L11" s="40" t="n">
        <x:f>-'07 Draft Operating Costs'!L21</x:f>
        <x:v>-24725</x:v>
      </x:c>
      <x:c r="M11" s="40" t="n">
        <x:f>-'07 Draft Operating Costs'!M21</x:f>
        <x:v>-25225</x:v>
      </x:c>
      <x:c r="N11" s="40" t="n">
        <x:f>-'07 Draft Operating Costs'!N21</x:f>
        <x:v>-24225</x:v>
      </x:c>
      <x:c r="O11" s="40" t="n">
        <x:f>-'07 Draft Operating Costs'!O21</x:f>
        <x:v>-22725</x:v>
      </x:c>
      <x:c r="P11" s="40" t="n">
        <x:f>SUM(D11:O11)</x:f>
        <x:v>-285000</x:v>
      </x:c>
    </x:row>
    <x:row r="12">
      <x:c r="B12" s="62" t="str">
        <x:v>Operating profit</x:v>
      </x:c>
      <x:c r="C12" s="62" t="str"/>
      <x:c r="D12" s="63" t="n">
        <x:f>SUM(D9,D11)</x:f>
        <x:v>26775</x:v>
      </x:c>
      <x:c r="E12" s="63" t="n">
        <x:f>SUM(E9,E11)</x:f>
        <x:v>32820</x:v>
      </x:c>
      <x:c r="F12" s="63" t="n">
        <x:f>SUM(F9,F11)</x:f>
        <x:v>39025</x:v>
      </x:c>
      <x:c r="G12" s="63" t="n">
        <x:f>SUM(G9,G11)</x:f>
        <x:v>48822.5</x:v>
      </x:c>
      <x:c r="H12" s="63" t="n">
        <x:f>SUM(H9,H11)</x:f>
        <x:v>39970</x:v>
      </x:c>
      <x:c r="I12" s="63" t="n">
        <x:f>SUM(I9,I11)</x:f>
        <x:v>42750</x:v>
      </x:c>
      <x:c r="J12" s="63" t="n">
        <x:f>SUM(J9,J11)</x:f>
        <x:v>37650</x:v>
      </x:c>
      <x:c r="K12" s="63" t="n">
        <x:f>SUM(K9,K11)</x:f>
        <x:v>64725</x:v>
      </x:c>
      <x:c r="L12" s="63" t="n">
        <x:f>SUM(L9,L11)</x:f>
        <x:v>75005</x:v>
      </x:c>
      <x:c r="M12" s="63" t="n">
        <x:f>SUM(M9,M11)</x:f>
        <x:v>90277.5</x:v>
      </x:c>
      <x:c r="N12" s="63" t="n">
        <x:f>SUM(N9,N11)</x:f>
        <x:v>69035</x:v>
      </x:c>
      <x:c r="O12" s="63" t="n">
        <x:f>SUM(O9,O11)</x:f>
        <x:v>60450</x:v>
      </x:c>
      <x:c r="P12" s="63" t="n">
        <x:f>SUM(D12:O12)</x:f>
        <x:v>627305</x:v>
      </x:c>
    </x:row>
    <x:row r="13">
      <x:c r="B13" s="62" t="str">
        <x:v>Operating margin</x:v>
      </x:c>
      <x:c r="C13" s="62" t="str"/>
      <x:c r="D13" s="64" t="n">
        <x:f>D12/D7</x:f>
        <x:v>0.48243243243243245</x:v>
      </x:c>
      <x:c r="E13" s="64" t="n">
        <x:f>E12/E7</x:f>
        <x:v>0.520952380952381</x:v>
      </x:c>
      <x:c r="F13" s="64" t="n">
        <x:f>F12/F7</x:f>
        <x:v>0.5615107913669065</x:v>
      </x:c>
      <x:c r="G13" s="64" t="n">
        <x:f>G12/G7</x:f>
        <x:v>0.6064906832298137</x:v>
      </x:c>
      <x:c r="H13" s="64" t="n">
        <x:f>H12/H7</x:f>
        <x:v>0.5877941176470588</x:v>
      </x:c>
      <x:c r="I13" s="64" t="n">
        <x:f>I12/I7</x:f>
        <x:v>0.5816326530612245</x:v>
      </x:c>
      <x:c r="J13" s="64" t="n">
        <x:f>J12/J7</x:f>
        <x:v>0.6275</x:v>
      </x:c>
      <x:c r="K13" s="64" t="n">
        <x:f>K12/K7</x:f>
        <x:v>0.7073770491803278</x:v>
      </x:c>
      <x:c r="L13" s="64" t="n">
        <x:f>L12/L7</x:f>
        <x:v>0.6608370044052864</x:v>
      </x:c>
      <x:c r="M13" s="64" t="n">
        <x:f>M12/M7</x:f>
        <x:v>0.7280443548387097</x:v>
      </x:c>
      <x:c r="N13" s="64" t="n">
        <x:f>N12/N7</x:f>
        <x:v>0.6670048309178744</x:v>
      </x:c>
      <x:c r="O13" s="64" t="n">
        <x:f>O12/O7</x:f>
        <x:v>0.6948275862068966</x:v>
      </x:c>
      <x:c r="P13" s="64" t="n">
        <x:f>P12/P7</x:f>
        <x:v>0.6339615967660435</x:v>
      </x:c>
    </x:row>
    <x:row r="14">
      <x:c r="B14" s="62" t="str">
        <x:v>Prior-year operating profit</x:v>
      </x:c>
      <x:c r="C14" s="62" t="str">
        <x:v>Historical</x:v>
      </x:c>
      <x:c r="D14" s="63" t="n">
        <x:f>'01 Prior Year P&amp;L'!D15</x:f>
        <x:v>-1350</x:v>
      </x:c>
      <x:c r="E14" s="63" t="n">
        <x:f>'01 Prior Year P&amp;L'!E15</x:f>
        <x:v>2745</x:v>
      </x:c>
      <x:c r="F14" s="63" t="n">
        <x:f>'01 Prior Year P&amp;L'!F15</x:f>
        <x:v>-795</x:v>
      </x:c>
      <x:c r="G14" s="63" t="n">
        <x:f>'01 Prior Year P&amp;L'!G15</x:f>
        <x:v>8280</x:v>
      </x:c>
      <x:c r="H14" s="63" t="n">
        <x:f>'01 Prior Year P&amp;L'!H15</x:f>
        <x:v>-1680</x:v>
      </x:c>
      <x:c r="I14" s="63" t="n">
        <x:f>'01 Prior Year P&amp;L'!I15</x:f>
        <x:v>-8650</x:v>
      </x:c>
      <x:c r="J14" s="63" t="n">
        <x:f>'01 Prior Year P&amp;L'!J15</x:f>
        <x:v>-16000</x:v>
      </x:c>
      <x:c r="K14" s="63" t="n">
        <x:f>'01 Prior Year P&amp;L'!K15</x:f>
        <x:v>-6410</x:v>
      </x:c>
      <x:c r="L14" s="63" t="n">
        <x:f>'01 Prior Year P&amp;L'!L15</x:f>
        <x:v>7355</x:v>
      </x:c>
      <x:c r="M14" s="63" t="n">
        <x:f>'01 Prior Year P&amp;L'!M15</x:f>
        <x:v>9250</x:v>
      </x:c>
      <x:c r="N14" s="63" t="n">
        <x:f>'01 Prior Year P&amp;L'!N15</x:f>
        <x:v>-4950</x:v>
      </x:c>
      <x:c r="O14" s="63" t="n">
        <x:f>'01 Prior Year P&amp;L'!O15</x:f>
        <x:v>-3450</x:v>
      </x:c>
      <x:c r="P14" s="63" t="n">
        <x:f>SUM(D14:O14)</x:f>
        <x:v>-15655</x:v>
      </x:c>
    </x:row>
    <x:row r="15">
      <x:c r="B15" s="62" t="str">
        <x:v>Change in operating profit</x:v>
      </x:c>
      <x:c r="C15" s="62" t="str">
        <x:v>EUR versus prior year</x:v>
      </x:c>
      <x:c r="D15" s="63" t="n">
        <x:f>D12-D14</x:f>
        <x:v>28125</x:v>
      </x:c>
      <x:c r="E15" s="63" t="n">
        <x:f>E12-E14</x:f>
        <x:v>30075</x:v>
      </x:c>
      <x:c r="F15" s="63" t="n">
        <x:f>F12-F14</x:f>
        <x:v>39820</x:v>
      </x:c>
      <x:c r="G15" s="63" t="n">
        <x:f>G12-G14</x:f>
        <x:v>40542.5</x:v>
      </x:c>
      <x:c r="H15" s="63" t="n">
        <x:f>H12-H14</x:f>
        <x:v>41650</x:v>
      </x:c>
      <x:c r="I15" s="63" t="n">
        <x:f>I12-I14</x:f>
        <x:v>51400</x:v>
      </x:c>
      <x:c r="J15" s="63" t="n">
        <x:f>J12-J14</x:f>
        <x:v>53650</x:v>
      </x:c>
      <x:c r="K15" s="63" t="n">
        <x:f>K12-K14</x:f>
        <x:v>71135</x:v>
      </x:c>
      <x:c r="L15" s="63" t="n">
        <x:f>L12-L14</x:f>
        <x:v>67650</x:v>
      </x:c>
      <x:c r="M15" s="63" t="n">
        <x:f>M12-M14</x:f>
        <x:v>81027.5</x:v>
      </x:c>
      <x:c r="N15" s="63" t="n">
        <x:f>N12-N14</x:f>
        <x:v>73985</x:v>
      </x:c>
      <x:c r="O15" s="63" t="n">
        <x:f>O12-O14</x:f>
        <x:v>63900</x:v>
      </x:c>
      <x:c r="P15" s="63" t="n">
        <x:f>P12-P14</x:f>
        <x:v>642960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6" hidden="0" customWidth="1"/>
    <x:col min="3" max="3" width="28" hidden="0" customWidth="1"/>
    <x:col min="4" max="4" width="15" hidden="0" customWidth="1"/>
    <x:col min="5" max="5" width="26" hidden="0" customWidth="1"/>
    <x:col min="6" max="6" width="28" hidden="0" customWidth="1"/>
    <x:col min="7" max="7" width="18" hidden="0" customWidth="1"/>
    <x:col min="8" max="8" width="18" hidden="0" customWidth="1"/>
    <x:col min="9" max="9" width="28" hidden="0" customWidth="1"/>
  </x:cols>
  <x:sheetData>
    <x:row r="2">
      <x:c r="B2" s="24" t="str">
        <x:v>Assumption Review</x:v>
      </x:c>
      <x:c r="C2" s="25"/>
      <x:c r="D2" s="25"/>
      <x:c r="E2" s="25"/>
      <x:c r="F2" s="25"/>
      <x:c r="G2" s="25"/>
      <x:c r="H2" s="25"/>
      <x:c r="I2" s="25"/>
    </x:row>
    <x:row r="3">
      <x:c r="B3" s="26" t="str">
        <x:v>Distinguish Part 1 corrections from Part 2 decisions. Cite evidence; state any assumptions you must make.</x:v>
      </x:c>
      <x:c r="C3" s="26"/>
      <x:c r="D3" s="26"/>
      <x:c r="E3" s="26"/>
      <x:c r="F3" s="26"/>
      <x:c r="G3" s="26"/>
      <x:c r="H3" s="26"/>
      <x:c r="I3" s="26"/>
    </x:row>
    <x:row r="4">
      <x:c r="B4" s="27"/>
      <x:c r="C4" s="27"/>
      <x:c r="D4" s="27"/>
      <x:c r="E4" s="27"/>
      <x:c r="F4" s="27"/>
      <x:c r="G4" s="27"/>
      <x:c r="H4" s="27"/>
      <x:c r="I4" s="27"/>
    </x:row>
    <x:row r="5">
      <x:c r="B5" s="27"/>
      <x:c r="C5" s="27"/>
      <x:c r="D5" s="27"/>
      <x:c r="E5" s="27"/>
      <x:c r="F5" s="27"/>
      <x:c r="G5" s="27"/>
      <x:c r="H5" s="27"/>
      <x:c r="I5" s="27"/>
    </x:row>
    <x:row r="6" ht="32" customHeight="1">
      <x:c r="B6" s="8" t="str">
        <x:v>No.</x:v>
      </x:c>
      <x:c r="C6" s="8" t="str">
        <x:v>Assumption</x:v>
      </x:c>
      <x:c r="D6" s="8" t="str">
        <x:v>Owner</x:v>
      </x:c>
      <x:c r="E6" s="8" t="str">
        <x:v>Evidence or source</x:v>
      </x:c>
      <x:c r="F6" s="8" t="str">
        <x:v>Conflict found</x:v>
      </x:c>
      <x:c r="G6" s="8" t="str">
        <x:v>Financial effect</x:v>
      </x:c>
      <x:c r="H6" s="8" t="str">
        <x:v>Correction or decision</x:v>
      </x:c>
      <x:c r="I6" s="8" t="str">
        <x:v>Correction / action and timing</x:v>
      </x:c>
    </x:row>
    <x:row r="7">
      <x:c r="B7" s="92" t="n">
        <x:v>1</x:v>
      </x:c>
      <x:c r="C7" s="93" t="str"/>
      <x:c r="D7" s="93" t="str"/>
      <x:c r="E7" s="93" t="str"/>
      <x:c r="F7" s="93" t="str"/>
      <x:c r="G7" s="93" t="str"/>
      <x:c r="H7" s="93" t="str"/>
      <x:c r="I7" s="93" t="str"/>
    </x:row>
    <x:row r="8">
      <x:c r="B8" s="92" t="n">
        <x:v>2</x:v>
      </x:c>
      <x:c r="C8" s="93" t="str"/>
      <x:c r="D8" s="93" t="str"/>
      <x:c r="E8" s="93" t="str"/>
      <x:c r="F8" s="93" t="str"/>
      <x:c r="G8" s="93" t="str"/>
      <x:c r="H8" s="93" t="str"/>
      <x:c r="I8" s="93" t="str"/>
    </x:row>
    <x:row r="9">
      <x:c r="B9" s="92" t="n">
        <x:v>3</x:v>
      </x:c>
      <x:c r="C9" s="93" t="str"/>
      <x:c r="D9" s="93" t="str"/>
      <x:c r="E9" s="93" t="str"/>
      <x:c r="F9" s="93" t="str"/>
      <x:c r="G9" s="93" t="str"/>
      <x:c r="H9" s="93" t="str"/>
      <x:c r="I9" s="93" t="str"/>
    </x:row>
    <x:row r="10">
      <x:c r="B10" s="92" t="n">
        <x:v>4</x:v>
      </x:c>
      <x:c r="C10" s="93" t="str"/>
      <x:c r="D10" s="93" t="str"/>
      <x:c r="E10" s="93" t="str"/>
      <x:c r="F10" s="93" t="str"/>
      <x:c r="G10" s="93" t="str"/>
      <x:c r="H10" s="93" t="str"/>
      <x:c r="I10" s="93" t="str"/>
    </x:row>
    <x:row r="11">
      <x:c r="B11" s="92" t="n">
        <x:v>5</x:v>
      </x:c>
      <x:c r="C11" s="93" t="str"/>
      <x:c r="D11" s="93" t="str"/>
      <x:c r="E11" s="93" t="str"/>
      <x:c r="F11" s="93" t="str"/>
      <x:c r="G11" s="93" t="str"/>
      <x:c r="H11" s="93" t="str"/>
      <x:c r="I11" s="93" t="str"/>
    </x:row>
    <x:row r="12">
      <x:c r="B12" s="92" t="n">
        <x:v>6</x:v>
      </x:c>
      <x:c r="C12" s="93" t="str"/>
      <x:c r="D12" s="93" t="str"/>
      <x:c r="E12" s="93" t="str"/>
      <x:c r="F12" s="93" t="str"/>
      <x:c r="G12" s="93" t="str"/>
      <x:c r="H12" s="93" t="str"/>
      <x:c r="I12" s="93" t="str"/>
    </x:row>
    <x:row r="13">
      <x:c r="B13" s="92" t="n">
        <x:v>7</x:v>
      </x:c>
      <x:c r="C13" s="93" t="str"/>
      <x:c r="D13" s="93" t="str"/>
      <x:c r="E13" s="93" t="str"/>
      <x:c r="F13" s="93" t="str"/>
      <x:c r="G13" s="93" t="str"/>
      <x:c r="H13" s="93" t="str"/>
      <x:c r="I13" s="93" t="str"/>
    </x:row>
    <x:row r="14">
      <x:c r="B14" s="92" t="n">
        <x:v>8</x:v>
      </x:c>
      <x:c r="C14" s="93" t="str"/>
      <x:c r="D14" s="93" t="str"/>
      <x:c r="E14" s="93" t="str"/>
      <x:c r="F14" s="93" t="str"/>
      <x:c r="G14" s="93" t="str"/>
      <x:c r="H14" s="93" t="str"/>
      <x:c r="I14" s="93" t="str"/>
    </x:row>
    <x:row r="15">
      <x:c r="B15" s="92" t="n">
        <x:v>9</x:v>
      </x:c>
      <x:c r="C15" s="93" t="str"/>
      <x:c r="D15" s="93" t="str"/>
      <x:c r="E15" s="93" t="str"/>
      <x:c r="F15" s="93" t="str"/>
      <x:c r="G15" s="93" t="str"/>
      <x:c r="H15" s="93" t="str"/>
      <x:c r="I15" s="93" t="str"/>
    </x:row>
    <x:row r="16">
      <x:c r="B16" s="92" t="n">
        <x:v>10</x:v>
      </x:c>
      <x:c r="C16" s="93" t="str"/>
      <x:c r="D16" s="93" t="str"/>
      <x:c r="E16" s="93" t="str"/>
      <x:c r="F16" s="93" t="str"/>
      <x:c r="G16" s="93" t="str"/>
      <x:c r="H16" s="93" t="str"/>
      <x:c r="I16" s="93" t="str"/>
    </x:row>
    <x:row r="17">
      <x:c r="B17" s="92" t="n">
        <x:v>11</x:v>
      </x:c>
      <x:c r="C17" s="93" t="str"/>
      <x:c r="D17" s="93" t="str"/>
      <x:c r="E17" s="93" t="str"/>
      <x:c r="F17" s="93" t="str"/>
      <x:c r="G17" s="93" t="str"/>
      <x:c r="H17" s="93" t="str"/>
      <x:c r="I17" s="93" t="str"/>
    </x:row>
    <x:row r="18">
      <x:c r="B18" s="92" t="n">
        <x:v>12</x:v>
      </x:c>
      <x:c r="C18" s="93" t="str"/>
      <x:c r="D18" s="93" t="str"/>
      <x:c r="E18" s="93" t="str"/>
      <x:c r="F18" s="93" t="str"/>
      <x:c r="G18" s="93" t="str"/>
      <x:c r="H18" s="93" t="str"/>
      <x:c r="I18" s="93" t="str"/>
    </x:row>
    <x:row r="19">
      <x:c r="B19" s="92" t="n">
        <x:v>13</x:v>
      </x:c>
      <x:c r="C19" s="93" t="str"/>
      <x:c r="D19" s="93" t="str"/>
      <x:c r="E19" s="93" t="str"/>
      <x:c r="F19" s="93" t="str"/>
      <x:c r="G19" s="93" t="str"/>
      <x:c r="H19" s="93" t="str"/>
      <x:c r="I19" s="93" t="str"/>
    </x:row>
    <x:row r="20">
      <x:c r="B20" s="92" t="n">
        <x:v>14</x:v>
      </x:c>
      <x:c r="C20" s="93" t="str"/>
      <x:c r="D20" s="93" t="str"/>
      <x:c r="E20" s="93" t="str"/>
      <x:c r="F20" s="93" t="str"/>
      <x:c r="G20" s="93" t="str"/>
      <x:c r="H20" s="93" t="str"/>
      <x:c r="I20" s="93" t="str"/>
    </x:row>
    <x:row r="21">
      <x:c r="B21" s="92" t="n">
        <x:v>15</x:v>
      </x:c>
      <x:c r="C21" s="93" t="str"/>
      <x:c r="D21" s="93" t="str"/>
      <x:c r="E21" s="93" t="str"/>
      <x:c r="F21" s="93" t="str"/>
      <x:c r="G21" s="93" t="str"/>
      <x:c r="H21" s="93" t="str"/>
      <x:c r="I21" s="93" t="str"/>
    </x:row>
    <x:row r="22">
      <x:c r="B22" s="92" t="n">
        <x:v>16</x:v>
      </x:c>
      <x:c r="C22" s="93" t="str"/>
      <x:c r="D22" s="93" t="str"/>
      <x:c r="E22" s="93" t="str"/>
      <x:c r="F22" s="93" t="str"/>
      <x:c r="G22" s="93" t="str"/>
      <x:c r="H22" s="93" t="str"/>
      <x:c r="I22" s="93" t="str"/>
    </x:row>
    <x:row r="23">
      <x:c r="B23" s="92" t="n">
        <x:v>17</x:v>
      </x:c>
      <x:c r="C23" s="93" t="str"/>
      <x:c r="D23" s="93" t="str"/>
      <x:c r="E23" s="93" t="str"/>
      <x:c r="F23" s="93" t="str"/>
      <x:c r="G23" s="93" t="str"/>
      <x:c r="H23" s="93" t="str"/>
      <x:c r="I23" s="93" t="str"/>
    </x:row>
    <x:row r="24">
      <x:c r="B24" s="92" t="n">
        <x:v>18</x:v>
      </x:c>
      <x:c r="C24" s="93" t="str"/>
      <x:c r="D24" s="93" t="str"/>
      <x:c r="E24" s="93" t="str"/>
      <x:c r="F24" s="93" t="str"/>
      <x:c r="G24" s="93" t="str"/>
      <x:c r="H24" s="93" t="str"/>
      <x:c r="I24" s="93" t="str"/>
    </x:row>
    <x:row r="25">
      <x:c r="B25" s="92" t="n">
        <x:v>19</x:v>
      </x:c>
      <x:c r="C25" s="93" t="str"/>
      <x:c r="D25" s="93" t="str"/>
      <x:c r="E25" s="93" t="str"/>
      <x:c r="F25" s="93" t="str"/>
      <x:c r="G25" s="93" t="str"/>
      <x:c r="H25" s="93" t="str"/>
      <x:c r="I25" s="93" t="str"/>
    </x:row>
    <x:row r="26">
      <x:c r="B26" s="92" t="n">
        <x:v>20</x:v>
      </x:c>
      <x:c r="C26" s="93" t="str"/>
      <x:c r="D26" s="93" t="str"/>
      <x:c r="E26" s="93" t="str"/>
      <x:c r="F26" s="93" t="str"/>
      <x:c r="G26" s="93" t="str"/>
      <x:c r="H26" s="93" t="str"/>
      <x:c r="I26" s="93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4" hidden="0" customWidth="1"/>
    <x:col min="3" max="3" width="2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</x:cols>
  <x:sheetData>
    <x:row r="2">
      <x:c r="B2" s="24" t="str">
        <x:v>Part 1 Red-pencil correction</x:v>
      </x:c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B3" s="26" t="str">
        <x:v>What would the monthly result be if management kept its existing decisions? Correct the estimates, not the business plan.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 ht="23" customHeight="1">
      <x:c r="B5" s="26" t="str">
        <x:v>Enter costs as negative numbers. Enter 0 for a genuine zero; leave unfinished months blank. Add supporting calculations.</x:v>
      </x:c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</x:row>
    <x:row r="6">
      <x:c r="B6" s="8" t="str">
        <x:v>Budget line</x:v>
      </x:c>
      <x:c r="C6" s="8" t="str">
        <x:v>Evidence / calculation</x:v>
      </x:c>
      <x:c r="D6" s="8" t="str">
        <x:v>Jan</x:v>
      </x:c>
      <x:c r="E6" s="8" t="str">
        <x:v>Feb</x:v>
      </x:c>
      <x:c r="F6" s="8" t="str">
        <x:v>Mar</x:v>
      </x:c>
      <x:c r="G6" s="8" t="str">
        <x:v>Apr</x:v>
      </x:c>
      <x:c r="H6" s="8" t="str">
        <x:v>May</x:v>
      </x:c>
      <x:c r="I6" s="8" t="str">
        <x:v>Jun</x:v>
      </x:c>
      <x:c r="J6" s="8" t="str">
        <x:v>Jul</x:v>
      </x:c>
      <x:c r="K6" s="8" t="str">
        <x:v>Aug</x:v>
      </x:c>
      <x:c r="L6" s="8" t="str">
        <x:v>Sep</x:v>
      </x:c>
      <x:c r="M6" s="8" t="str">
        <x:v>Oct</x:v>
      </x:c>
      <x:c r="N6" s="8" t="str">
        <x:v>Nov</x:v>
      </x:c>
      <x:c r="O6" s="8" t="str">
        <x:v>Dec</x:v>
      </x:c>
      <x:c r="P6" s="8" t="str">
        <x:v>FY Total</x:v>
      </x:c>
    </x:row>
    <x:row r="7">
      <x:c r="B7" s="27" t="str">
        <x:v>Revenue</x:v>
      </x:c>
      <x:c r="C7" s="92" t="str"/>
      <x:c r="D7" s="121"/>
      <x:c r="E7" s="121"/>
      <x:c r="F7" s="121"/>
      <x:c r="G7" s="121"/>
      <x:c r="H7" s="121"/>
      <x:c r="I7" s="121"/>
      <x:c r="J7" s="121"/>
      <x:c r="K7" s="121"/>
      <x:c r="L7" s="121"/>
      <x:c r="M7" s="121"/>
      <x:c r="N7" s="121"/>
      <x:c r="O7" s="121"/>
      <x:c r="P7" s="119" t="str">
        <x:f>IF(COUNT(D7:O7)=12,SUM(D7:O7),"")</x:f>
      </x:c>
    </x:row>
    <x:row r="8">
      <x:c r="B8" s="27" t="str">
        <x:v>Direct program costs</x:v>
      </x:c>
      <x:c r="C8" s="92" t="str"/>
      <x:c r="D8" s="121"/>
      <x:c r="E8" s="121"/>
      <x:c r="F8" s="121"/>
      <x:c r="G8" s="121"/>
      <x:c r="H8" s="121"/>
      <x:c r="I8" s="121"/>
      <x:c r="J8" s="121"/>
      <x:c r="K8" s="121"/>
      <x:c r="L8" s="121"/>
      <x:c r="M8" s="121"/>
      <x:c r="N8" s="121"/>
      <x:c r="O8" s="121"/>
      <x:c r="P8" s="119" t="str">
        <x:f>IF(COUNT(D8:O8)=12,SUM(D8:O8),"")</x:f>
      </x:c>
    </x:row>
    <x:row r="9">
      <x:c r="B9" s="27" t="str">
        <x:v>Contribution</x:v>
      </x:c>
      <x:c r="C9" s="92" t="str"/>
      <x:c r="D9" s="119" t="str">
        <x:f>IF(COUNT(D7:D8)=2,SUM(D7:D8),"")</x:f>
      </x:c>
      <x:c r="E9" s="119" t="str">
        <x:f>IF(COUNT(E7:E8)=2,SUM(E7:E8),"")</x:f>
      </x:c>
      <x:c r="F9" s="119" t="str">
        <x:f>IF(COUNT(F7:F8)=2,SUM(F7:F8),"")</x:f>
      </x:c>
      <x:c r="G9" s="119" t="str">
        <x:f>IF(COUNT(G7:G8)=2,SUM(G7:G8),"")</x:f>
      </x:c>
      <x:c r="H9" s="119" t="str">
        <x:f>IF(COUNT(H7:H8)=2,SUM(H7:H8),"")</x:f>
      </x:c>
      <x:c r="I9" s="119" t="str">
        <x:f>IF(COUNT(I7:I8)=2,SUM(I7:I8),"")</x:f>
      </x:c>
      <x:c r="J9" s="119" t="str">
        <x:f>IF(COUNT(J7:J8)=2,SUM(J7:J8),"")</x:f>
      </x:c>
      <x:c r="K9" s="119" t="str">
        <x:f>IF(COUNT(K7:K8)=2,SUM(K7:K8),"")</x:f>
      </x:c>
      <x:c r="L9" s="119" t="str">
        <x:f>IF(COUNT(L7:L8)=2,SUM(L7:L8),"")</x:f>
      </x:c>
      <x:c r="M9" s="119" t="str">
        <x:f>IF(COUNT(M7:M8)=2,SUM(M7:M8),"")</x:f>
      </x:c>
      <x:c r="N9" s="119" t="str">
        <x:f>IF(COUNT(N7:N8)=2,SUM(N7:N8),"")</x:f>
      </x:c>
      <x:c r="O9" s="119" t="str">
        <x:f>IF(COUNT(O7:O8)=2,SUM(O7:O8),"")</x:f>
      </x:c>
      <x:c r="P9" s="119" t="str">
        <x:f>IF(COUNT(D9:O9)=12,SUM(D9:O9),"")</x:f>
      </x:c>
    </x:row>
    <x:row r="10">
      <x:c r="B10" s="27" t="str">
        <x:v>Contribution margin</x:v>
      </x:c>
      <x:c r="C10" s="92" t="str"/>
      <x:c r="D10" s="120" t="str">
        <x:f>IF(AND(ISNUMBER(D9),D7&lt;&gt;0),D9/D7,"")</x:f>
      </x:c>
      <x:c r="E10" s="120" t="str">
        <x:f>IF(AND(ISNUMBER(E9),E7&lt;&gt;0),E9/E7,"")</x:f>
      </x:c>
      <x:c r="F10" s="120" t="str">
        <x:f>IF(AND(ISNUMBER(F9),F7&lt;&gt;0),F9/F7,"")</x:f>
      </x:c>
      <x:c r="G10" s="120" t="str">
        <x:f>IF(AND(ISNUMBER(G9),G7&lt;&gt;0),G9/G7,"")</x:f>
      </x:c>
      <x:c r="H10" s="120" t="str">
        <x:f>IF(AND(ISNUMBER(H9),H7&lt;&gt;0),H9/H7,"")</x:f>
      </x:c>
      <x:c r="I10" s="120" t="str">
        <x:f>IF(AND(ISNUMBER(I9),I7&lt;&gt;0),I9/I7,"")</x:f>
      </x:c>
      <x:c r="J10" s="120" t="str">
        <x:f>IF(AND(ISNUMBER(J9),J7&lt;&gt;0),J9/J7,"")</x:f>
      </x:c>
      <x:c r="K10" s="120" t="str">
        <x:f>IF(AND(ISNUMBER(K9),K7&lt;&gt;0),K9/K7,"")</x:f>
      </x:c>
      <x:c r="L10" s="120" t="str">
        <x:f>IF(AND(ISNUMBER(L9),L7&lt;&gt;0),L9/L7,"")</x:f>
      </x:c>
      <x:c r="M10" s="120" t="str">
        <x:f>IF(AND(ISNUMBER(M9),M7&lt;&gt;0),M9/M7,"")</x:f>
      </x:c>
      <x:c r="N10" s="120" t="str">
        <x:f>IF(AND(ISNUMBER(N9),N7&lt;&gt;0),N9/N7,"")</x:f>
      </x:c>
      <x:c r="O10" s="120" t="str">
        <x:f>IF(AND(ISNUMBER(O9),O7&lt;&gt;0),O9/O7,"")</x:f>
      </x:c>
      <x:c r="P10" s="120" t="str">
        <x:f>IF(AND(ISNUMBER(P9),P7&lt;&gt;0),P9/P7,"")</x:f>
      </x:c>
    </x:row>
    <x:row r="11">
      <x:c r="B11" s="27" t="str">
        <x:v>Operating expenses</x:v>
      </x:c>
      <x:c r="C11" s="92" t="str"/>
      <x:c r="D11" s="121"/>
      <x:c r="E11" s="121"/>
      <x:c r="F11" s="121"/>
      <x:c r="G11" s="121"/>
      <x:c r="H11" s="121"/>
      <x:c r="I11" s="121"/>
      <x:c r="J11" s="121"/>
      <x:c r="K11" s="121"/>
      <x:c r="L11" s="121"/>
      <x:c r="M11" s="121"/>
      <x:c r="N11" s="121"/>
      <x:c r="O11" s="121"/>
      <x:c r="P11" s="119" t="str">
        <x:f>IF(COUNT(D11:O11)=12,SUM(D11:O11),"")</x:f>
      </x:c>
    </x:row>
    <x:row r="12">
      <x:c r="B12" s="27" t="str">
        <x:v>Operating profit</x:v>
      </x:c>
      <x:c r="C12" s="92" t="str"/>
      <x:c r="D12" s="119" t="str">
        <x:f>IF(AND(ISNUMBER(D9),ISNUMBER(D11)),SUM(D9,D11),"")</x:f>
      </x:c>
      <x:c r="E12" s="119" t="str">
        <x:f>IF(AND(ISNUMBER(E9),ISNUMBER(E11)),SUM(E9,E11),"")</x:f>
      </x:c>
      <x:c r="F12" s="119" t="str">
        <x:f>IF(AND(ISNUMBER(F9),ISNUMBER(F11)),SUM(F9,F11),"")</x:f>
      </x:c>
      <x:c r="G12" s="119" t="str">
        <x:f>IF(AND(ISNUMBER(G9),ISNUMBER(G11)),SUM(G9,G11),"")</x:f>
      </x:c>
      <x:c r="H12" s="119" t="str">
        <x:f>IF(AND(ISNUMBER(H9),ISNUMBER(H11)),SUM(H9,H11),"")</x:f>
      </x:c>
      <x:c r="I12" s="119" t="str">
        <x:f>IF(AND(ISNUMBER(I9),ISNUMBER(I11)),SUM(I9,I11),"")</x:f>
      </x:c>
      <x:c r="J12" s="119" t="str">
        <x:f>IF(AND(ISNUMBER(J9),ISNUMBER(J11)),SUM(J9,J11),"")</x:f>
      </x:c>
      <x:c r="K12" s="119" t="str">
        <x:f>IF(AND(ISNUMBER(K9),ISNUMBER(K11)),SUM(K9,K11),"")</x:f>
      </x:c>
      <x:c r="L12" s="119" t="str">
        <x:f>IF(AND(ISNUMBER(L9),ISNUMBER(L11)),SUM(L9,L11),"")</x:f>
      </x:c>
      <x:c r="M12" s="119" t="str">
        <x:f>IF(AND(ISNUMBER(M9),ISNUMBER(M11)),SUM(M9,M11),"")</x:f>
      </x:c>
      <x:c r="N12" s="119" t="str">
        <x:f>IF(AND(ISNUMBER(N9),ISNUMBER(N11)),SUM(N9,N11),"")</x:f>
      </x:c>
      <x:c r="O12" s="119" t="str">
        <x:f>IF(AND(ISNUMBER(O9),ISNUMBER(O11)),SUM(O9,O11),"")</x:f>
      </x:c>
      <x:c r="P12" s="119" t="str">
        <x:f>IF(COUNT(D12:O12)=12,SUM(D12:O12),"")</x:f>
      </x:c>
    </x:row>
    <x:row r="13">
      <x:c r="B13" s="27" t="str">
        <x:v>Operating margin</x:v>
      </x:c>
      <x:c r="C13" s="92" t="str"/>
      <x:c r="D13" s="120" t="str">
        <x:f>IF(AND(ISNUMBER(D12),D7&lt;&gt;0),D12/D7,"")</x:f>
      </x:c>
      <x:c r="E13" s="120" t="str">
        <x:f>IF(AND(ISNUMBER(E12),E7&lt;&gt;0),E12/E7,"")</x:f>
      </x:c>
      <x:c r="F13" s="120" t="str">
        <x:f>IF(AND(ISNUMBER(F12),F7&lt;&gt;0),F12/F7,"")</x:f>
      </x:c>
      <x:c r="G13" s="120" t="str">
        <x:f>IF(AND(ISNUMBER(G12),G7&lt;&gt;0),G12/G7,"")</x:f>
      </x:c>
      <x:c r="H13" s="120" t="str">
        <x:f>IF(AND(ISNUMBER(H12),H7&lt;&gt;0),H12/H7,"")</x:f>
      </x:c>
      <x:c r="I13" s="120" t="str">
        <x:f>IF(AND(ISNUMBER(I12),I7&lt;&gt;0),I12/I7,"")</x:f>
      </x:c>
      <x:c r="J13" s="120" t="str">
        <x:f>IF(AND(ISNUMBER(J12),J7&lt;&gt;0),J12/J7,"")</x:f>
      </x:c>
      <x:c r="K13" s="120" t="str">
        <x:f>IF(AND(ISNUMBER(K12),K7&lt;&gt;0),K12/K7,"")</x:f>
      </x:c>
      <x:c r="L13" s="120" t="str">
        <x:f>IF(AND(ISNUMBER(L12),L7&lt;&gt;0),L12/L7,"")</x:f>
      </x:c>
      <x:c r="M13" s="120" t="str">
        <x:f>IF(AND(ISNUMBER(M12),M7&lt;&gt;0),M12/M7,"")</x:f>
      </x:c>
      <x:c r="N13" s="120" t="str">
        <x:f>IF(AND(ISNUMBER(N12),N7&lt;&gt;0),N12/N7,"")</x:f>
      </x:c>
      <x:c r="O13" s="120" t="str">
        <x:f>IF(AND(ISNUMBER(O12),O7&lt;&gt;0),O12/O7,"")</x:f>
      </x:c>
      <x:c r="P13" s="120" t="str">
        <x:f>IF(AND(ISNUMBER(P12),P7&lt;&gt;0),P12/P7,"")</x:f>
      </x:c>
    </x:row>
    <x:row r="14">
      <x:c r="B14" s="27" t="str">
        <x:v>Trainer days required</x:v>
      </x:c>
      <x:c r="C14" s="92" t="str"/>
      <x:c r="D14" s="122"/>
      <x:c r="E14" s="122"/>
      <x:c r="F14" s="122"/>
      <x:c r="G14" s="122"/>
      <x:c r="H14" s="122"/>
      <x:c r="I14" s="122"/>
      <x:c r="J14" s="122"/>
      <x:c r="K14" s="122"/>
      <x:c r="L14" s="122"/>
      <x:c r="M14" s="122"/>
      <x:c r="N14" s="122"/>
      <x:c r="O14" s="122"/>
      <x:c r="P14" s="123" t="str">
        <x:f>IF(COUNT(D14:O14)=12,SUM(D14:O14),"")</x:f>
      </x:c>
    </x:row>
    <x:row r="15">
      <x:c r="B15" s="27" t="str">
        <x:v>Open seats sold</x:v>
      </x:c>
      <x:c r="C15" s="92" t="str"/>
      <x:c r="D15" s="122"/>
      <x:c r="E15" s="122"/>
      <x:c r="F15" s="122"/>
      <x:c r="G15" s="122"/>
      <x:c r="H15" s="122"/>
      <x:c r="I15" s="122"/>
      <x:c r="J15" s="122"/>
      <x:c r="K15" s="122"/>
      <x:c r="L15" s="122"/>
      <x:c r="M15" s="122"/>
      <x:c r="N15" s="122"/>
      <x:c r="O15" s="122"/>
      <x:c r="P15" s="123" t="str">
        <x:f>IF(COUNT(D15:O15)=12,SUM(D15:O15),"")</x:f>
      </x:c>
    </x:row>
    <x:row r="17" ht="24" customHeight="1">
      <x:c r="B17" s="107" t="str">
        <x:v>Yellow cells are your inputs or working formulas. Blue-grey cells calculate totals. Explain how sales, capacity and costs fit.</x:v>
      </x:c>
      <x:c r="C17" s="107"/>
      <x:c r="D17" s="107"/>
      <x:c r="E17" s="107"/>
      <x:c r="F17" s="107"/>
      <x:c r="G17" s="107"/>
      <x:c r="H17" s="107"/>
      <x:c r="I17" s="107"/>
      <x:c r="J17" s="107"/>
      <x:c r="K17" s="107"/>
      <x:c r="L17" s="107"/>
      <x:c r="M17" s="107"/>
      <x:c r="N17" s="107"/>
      <x:c r="O17" s="107"/>
      <x:c r="P17" s="10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3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2">
      <x:c r="B2" s="24" t="str">
        <x:v>Part 2 Management decisions</x:v>
      </x:c>
      <x:c r="C2" s="25"/>
      <x:c r="D2" s="25"/>
      <x:c r="E2" s="25"/>
      <x:c r="F2" s="25"/>
      <x:c r="G2" s="25"/>
      <x:c r="H2" s="25"/>
      <x:c r="I2" s="25"/>
      <x:c r="J2" s="25"/>
    </x:row>
    <x:row r="3">
      <x:c r="B3" s="26" t="str">
        <x:v>State what you will change before building sheet 12. For each decision: action, starting month, cost, expected effect and basis.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7"/>
      <x:c r="C4" s="27"/>
      <x:c r="D4" s="27"/>
      <x:c r="E4" s="27"/>
      <x:c r="F4" s="27"/>
      <x:c r="G4" s="27"/>
      <x:c r="H4" s="27"/>
      <x:c r="I4" s="27"/>
      <x:c r="J4" s="27"/>
    </x:row>
    <x:row r="5">
      <x:c r="B5" s="26" t="str">
        <x:v>Record your main decisions below; add rows if needed. Do not treat new actions as Part 1 corrections.</x:v>
      </x:c>
      <x:c r="C5" s="26"/>
      <x:c r="D5" s="26"/>
      <x:c r="E5" s="26"/>
      <x:c r="F5" s="26"/>
      <x:c r="G5" s="26"/>
      <x:c r="H5" s="26"/>
      <x:c r="I5" s="26"/>
      <x:c r="J5" s="26"/>
    </x:row>
    <x:row r="6" ht="34" customHeight="1">
      <x:c r="B6" s="28" t="str">
        <x:v>Board recommendation</x:v>
      </x:c>
      <x:c r="C6" s="93" t="str">
        <x:v>Would you approve the original draft or your management plan? State conditions if needed.</x:v>
      </x:c>
      <x:c r="D6" s="93"/>
      <x:c r="E6" s="93"/>
      <x:c r="F6" s="93"/>
      <x:c r="G6" s="93"/>
      <x:c r="H6" s="93"/>
      <x:c r="I6" s="93"/>
      <x:c r="J6" s="93"/>
    </x:row>
    <x:row r="7" ht="34" customHeight="1">
      <x:c r="B7" s="28" t="str">
        <x:v>Part 1 annual revenue</x:v>
      </x:c>
      <x:c r="C7" s="142" t="str">
        <x:f>IF(ISNUMBER('10 Corrected Budget'!P7),'10 Corrected Budget'!P7,"")</x:f>
      </x:c>
      <x:c r="D7" s="142"/>
      <x:c r="E7" s="142"/>
      <x:c r="F7" s="142"/>
      <x:c r="G7" s="142"/>
      <x:c r="H7" s="142"/>
      <x:c r="I7" s="142"/>
      <x:c r="J7" s="142"/>
    </x:row>
    <x:row r="8" ht="34" customHeight="1">
      <x:c r="B8" s="28" t="str">
        <x:v>Part 1 annual profit</x:v>
      </x:c>
      <x:c r="C8" s="142" t="str">
        <x:f>IF(ISNUMBER('10 Corrected Budget'!P12),'10 Corrected Budget'!P12,"")</x:f>
      </x:c>
      <x:c r="D8" s="142"/>
      <x:c r="E8" s="142"/>
      <x:c r="F8" s="142"/>
      <x:c r="G8" s="142"/>
      <x:c r="H8" s="142"/>
      <x:c r="I8" s="142"/>
      <x:c r="J8" s="142"/>
    </x:row>
    <x:row r="9" ht="34" customHeight="1">
      <x:c r="B9" s="28" t="str">
        <x:v>Part 2 annual revenue</x:v>
      </x:c>
      <x:c r="C9" s="142" t="str">
        <x:f>IF(ISNUMBER('12 Management Budget'!P7),'12 Management Budget'!P7,"")</x:f>
      </x:c>
      <x:c r="D9" s="142"/>
      <x:c r="E9" s="142"/>
      <x:c r="F9" s="142"/>
      <x:c r="G9" s="142"/>
      <x:c r="H9" s="142"/>
      <x:c r="I9" s="142"/>
      <x:c r="J9" s="142"/>
    </x:row>
    <x:row r="10" ht="34" customHeight="1">
      <x:c r="B10" s="28" t="str">
        <x:v>Part 2 annual profit</x:v>
      </x:c>
      <x:c r="C10" s="142" t="str">
        <x:f>IF(ISNUMBER('12 Management Budget'!P12),'12 Management Budget'!P12,"")</x:f>
      </x:c>
      <x:c r="D10" s="142"/>
      <x:c r="E10" s="142"/>
      <x:c r="F10" s="142"/>
      <x:c r="G10" s="142"/>
      <x:c r="H10" s="142"/>
      <x:c r="I10" s="142"/>
      <x:c r="J10" s="142"/>
    </x:row>
    <x:row r="11" ht="66" customHeight="1">
      <x:c r="B11" s="28" t="str">
        <x:v>Decision 1</x:v>
      </x:c>
      <x:c r="C11" s="93" t="str"/>
      <x:c r="D11" s="93"/>
      <x:c r="E11" s="93"/>
      <x:c r="F11" s="93"/>
      <x:c r="G11" s="93"/>
      <x:c r="H11" s="93"/>
      <x:c r="I11" s="93"/>
      <x:c r="J11" s="93"/>
    </x:row>
    <x:row r="12" ht="66" customHeight="1">
      <x:c r="B12" s="28" t="str">
        <x:v>Decision 2</x:v>
      </x:c>
      <x:c r="C12" s="93" t="str"/>
      <x:c r="D12" s="93"/>
      <x:c r="E12" s="93"/>
      <x:c r="F12" s="93"/>
      <x:c r="G12" s="93"/>
      <x:c r="H12" s="93"/>
      <x:c r="I12" s="93"/>
      <x:c r="J12" s="93"/>
    </x:row>
    <x:row r="13" ht="66" customHeight="1">
      <x:c r="B13" s="28" t="str">
        <x:v>Decision 3</x:v>
      </x:c>
      <x:c r="C13" s="93" t="str"/>
      <x:c r="D13" s="93"/>
      <x:c r="E13" s="93"/>
      <x:c r="F13" s="93"/>
      <x:c r="G13" s="93"/>
      <x:c r="H13" s="93"/>
      <x:c r="I13" s="93"/>
      <x:c r="J13" s="93"/>
    </x:row>
    <x:row r="14" ht="34" customHeight="1">
      <x:c r="B14" s="28" t="str">
        <x:v>Main remaining risk</x:v>
      </x:c>
      <x:c r="C14" s="93" t="str"/>
      <x:c r="D14" s="93"/>
      <x:c r="E14" s="93"/>
      <x:c r="F14" s="93"/>
      <x:c r="G14" s="93"/>
      <x:c r="H14" s="93"/>
      <x:c r="I14" s="93"/>
      <x:c r="J14" s="93"/>
    </x:row>
  </x:sheetData>
  <x:mergeCells>
    <x:mergeCell ref="C6:J6"/>
    <x:mergeCell ref="C7:J7"/>
    <x:mergeCell ref="C8:J8"/>
    <x:mergeCell ref="C9:J9"/>
    <x:mergeCell ref="C10:J10"/>
    <x:mergeCell ref="C11:J11"/>
    <x:mergeCell ref="C12:J12"/>
    <x:mergeCell ref="C13:J13"/>
    <x:mergeCell ref="C14:J14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" hidden="0" customWidth="1"/>
    <x:col min="2" max="2" width="28" hidden="0" customWidth="1"/>
    <x:col min="3" max="3" width="2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5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</x:row>
    <x:row r="2">
      <x:c r="A2"/>
      <x:c r="B2" s="106" t="str">
        <x:v>Part 2 Management decisions and budget</x:v>
      </x:c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</x:row>
    <x:row r="3">
      <x:c r="A3"/>
      <x:c r="B3" s="107" t="str">
        <x:v>Build a new monthly P&amp;L from Part 1 plus the management decisions recorded in sheet 11. Include their costs and timing.</x:v>
      </x:c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  <x:c r="M3" s="107"/>
      <x:c r="N3" s="107"/>
      <x:c r="O3" s="107"/>
      <x:c r="P3" s="107"/>
    </x:row>
    <x:row r="4">
      <x:c r="A4"/>
      <x:c r="B4" s="103"/>
      <x:c r="C4" s="103"/>
      <x:c r="D4" s="103"/>
      <x:c r="E4" s="103"/>
      <x:c r="F4" s="103"/>
      <x:c r="G4" s="103"/>
      <x:c r="H4" s="103"/>
      <x:c r="I4" s="103"/>
      <x:c r="J4" s="103"/>
      <x:c r="K4" s="103"/>
      <x:c r="L4" s="103"/>
      <x:c r="M4" s="103"/>
      <x:c r="N4" s="103"/>
      <x:c r="O4" s="103"/>
      <x:c r="P4" s="103"/>
    </x:row>
    <x:row r="5" ht="23" customHeight="1">
      <x:c r="A5"/>
      <x:c r="B5" s="107" t="str">
        <x:v>Enter costs as negative numbers. Enter 0 for a genuine zero; leave unfinished months blank. Add supporting calculations.</x:v>
      </x:c>
      <x:c r="C5" s="107"/>
      <x:c r="D5" s="107"/>
      <x:c r="E5" s="107"/>
      <x:c r="F5" s="107"/>
      <x:c r="G5" s="107"/>
      <x:c r="H5" s="107"/>
      <x:c r="I5" s="107"/>
      <x:c r="J5" s="107"/>
      <x:c r="K5" s="107"/>
      <x:c r="L5" s="107"/>
      <x:c r="M5" s="107"/>
      <x:c r="N5" s="107"/>
      <x:c r="O5" s="107"/>
      <x:c r="P5" s="107"/>
    </x:row>
    <x:row r="6">
      <x:c r="A6"/>
      <x:c r="B6" s="111" t="str">
        <x:v>Budget line</x:v>
      </x:c>
      <x:c r="C6" s="111" t="str">
        <x:v>Decision / calculation</x:v>
      </x:c>
      <x:c r="D6" s="111" t="str">
        <x:v>Jan</x:v>
      </x:c>
      <x:c r="E6" s="111" t="str">
        <x:v>Feb</x:v>
      </x:c>
      <x:c r="F6" s="111" t="str">
        <x:v>Mar</x:v>
      </x:c>
      <x:c r="G6" s="111" t="str">
        <x:v>Apr</x:v>
      </x:c>
      <x:c r="H6" s="111" t="str">
        <x:v>May</x:v>
      </x:c>
      <x:c r="I6" s="111" t="str">
        <x:v>Jun</x:v>
      </x:c>
      <x:c r="J6" s="111" t="str">
        <x:v>Jul</x:v>
      </x:c>
      <x:c r="K6" s="111" t="str">
        <x:v>Aug</x:v>
      </x:c>
      <x:c r="L6" s="111" t="str">
        <x:v>Sep</x:v>
      </x:c>
      <x:c r="M6" s="111" t="str">
        <x:v>Oct</x:v>
      </x:c>
      <x:c r="N6" s="111" t="str">
        <x:v>Nov</x:v>
      </x:c>
      <x:c r="O6" s="111" t="str">
        <x:v>Dec</x:v>
      </x:c>
      <x:c r="P6" s="111" t="str">
        <x:v>FY Total</x:v>
      </x:c>
    </x:row>
    <x:row r="7">
      <x:c r="A7"/>
      <x:c r="B7" s="112" t="str">
        <x:v>Revenue</x:v>
      </x:c>
      <x:c r="C7" s="113"/>
      <x:c r="D7" s="136"/>
      <x:c r="E7" s="136"/>
      <x:c r="F7" s="136"/>
      <x:c r="G7" s="136"/>
      <x:c r="H7" s="136"/>
      <x:c r="I7" s="136"/>
      <x:c r="J7" s="136"/>
      <x:c r="K7" s="136"/>
      <x:c r="L7" s="136"/>
      <x:c r="M7" s="136"/>
      <x:c r="N7" s="136"/>
      <x:c r="O7" s="136"/>
      <x:c r="P7" s="132" t="str">
        <x:f>IF(COUNT(D7:O7)=12,SUM(D7:O7),"")</x:f>
      </x:c>
    </x:row>
    <x:row r="8">
      <x:c r="A8"/>
      <x:c r="B8" s="112" t="str">
        <x:v>Direct program costs</x:v>
      </x:c>
      <x:c r="C8" s="113"/>
      <x:c r="D8" s="136"/>
      <x:c r="E8" s="136"/>
      <x:c r="F8" s="136"/>
      <x:c r="G8" s="136"/>
      <x:c r="H8" s="136"/>
      <x:c r="I8" s="136"/>
      <x:c r="J8" s="136"/>
      <x:c r="K8" s="136"/>
      <x:c r="L8" s="136"/>
      <x:c r="M8" s="136"/>
      <x:c r="N8" s="136"/>
      <x:c r="O8" s="136"/>
      <x:c r="P8" s="132" t="str">
        <x:f>IF(COUNT(D8:O8)=12,SUM(D8:O8),"")</x:f>
      </x:c>
    </x:row>
    <x:row r="9">
      <x:c r="A9"/>
      <x:c r="B9" s="112" t="str">
        <x:v>Contribution</x:v>
      </x:c>
      <x:c r="C9" s="113"/>
      <x:c r="D9" s="133" t="str">
        <x:f>IF(COUNT(D7:D8)=2,SUM(D7:D8),"")</x:f>
      </x:c>
      <x:c r="E9" s="133" t="str">
        <x:f>IF(COUNT(E7:E8)=2,SUM(E7:E8),"")</x:f>
      </x:c>
      <x:c r="F9" s="133" t="str">
        <x:f>IF(COUNT(F7:F8)=2,SUM(F7:F8),"")</x:f>
      </x:c>
      <x:c r="G9" s="133" t="str">
        <x:f>IF(COUNT(G7:G8)=2,SUM(G7:G8),"")</x:f>
      </x:c>
      <x:c r="H9" s="133" t="str">
        <x:f>IF(COUNT(H7:H8)=2,SUM(H7:H8),"")</x:f>
      </x:c>
      <x:c r="I9" s="133" t="str">
        <x:f>IF(COUNT(I7:I8)=2,SUM(I7:I8),"")</x:f>
      </x:c>
      <x:c r="J9" s="133" t="str">
        <x:f>IF(COUNT(J7:J8)=2,SUM(J7:J8),"")</x:f>
      </x:c>
      <x:c r="K9" s="133" t="str">
        <x:f>IF(COUNT(K7:K8)=2,SUM(K7:K8),"")</x:f>
      </x:c>
      <x:c r="L9" s="133" t="str">
        <x:f>IF(COUNT(L7:L8)=2,SUM(L7:L8),"")</x:f>
      </x:c>
      <x:c r="M9" s="133" t="str">
        <x:f>IF(COUNT(M7:M8)=2,SUM(M7:M8),"")</x:f>
      </x:c>
      <x:c r="N9" s="133" t="str">
        <x:f>IF(COUNT(N7:N8)=2,SUM(N7:N8),"")</x:f>
      </x:c>
      <x:c r="O9" s="133" t="str">
        <x:f>IF(COUNT(O7:O8)=2,SUM(O7:O8),"")</x:f>
      </x:c>
      <x:c r="P9" s="133" t="str">
        <x:f>IF(COUNT(D9:O9)=12,SUM(D9:O9),"")</x:f>
      </x:c>
    </x:row>
    <x:row r="10">
      <x:c r="A10"/>
      <x:c r="B10" s="112" t="str">
        <x:v>Contribution margin</x:v>
      </x:c>
      <x:c r="C10" s="113"/>
      <x:c r="D10" s="135" t="str">
        <x:f>IF(AND(ISNUMBER(D9),D7&lt;&gt;0),D9/D7,"")</x:f>
      </x:c>
      <x:c r="E10" s="135" t="str">
        <x:f>IF(AND(ISNUMBER(E9),E7&lt;&gt;0),E9/E7,"")</x:f>
      </x:c>
      <x:c r="F10" s="135" t="str">
        <x:f>IF(AND(ISNUMBER(F9),F7&lt;&gt;0),F9/F7,"")</x:f>
      </x:c>
      <x:c r="G10" s="135" t="str">
        <x:f>IF(AND(ISNUMBER(G9),G7&lt;&gt;0),G9/G7,"")</x:f>
      </x:c>
      <x:c r="H10" s="135" t="str">
        <x:f>IF(AND(ISNUMBER(H9),H7&lt;&gt;0),H9/H7,"")</x:f>
      </x:c>
      <x:c r="I10" s="135" t="str">
        <x:f>IF(AND(ISNUMBER(I9),I7&lt;&gt;0),I9/I7,"")</x:f>
      </x:c>
      <x:c r="J10" s="135" t="str">
        <x:f>IF(AND(ISNUMBER(J9),J7&lt;&gt;0),J9/J7,"")</x:f>
      </x:c>
      <x:c r="K10" s="135" t="str">
        <x:f>IF(AND(ISNUMBER(K9),K7&lt;&gt;0),K9/K7,"")</x:f>
      </x:c>
      <x:c r="L10" s="135" t="str">
        <x:f>IF(AND(ISNUMBER(L9),L7&lt;&gt;0),L9/L7,"")</x:f>
      </x:c>
      <x:c r="M10" s="135" t="str">
        <x:f>IF(AND(ISNUMBER(M9),M7&lt;&gt;0),M9/M7,"")</x:f>
      </x:c>
      <x:c r="N10" s="135" t="str">
        <x:f>IF(AND(ISNUMBER(N9),N7&lt;&gt;0),N9/N7,"")</x:f>
      </x:c>
      <x:c r="O10" s="135" t="str">
        <x:f>IF(AND(ISNUMBER(O9),O7&lt;&gt;0),O9/O7,"")</x:f>
      </x:c>
      <x:c r="P10" s="135" t="str">
        <x:f>IF(AND(ISNUMBER(P9),P7&lt;&gt;0),P9/P7,"")</x:f>
      </x:c>
    </x:row>
    <x:row r="11">
      <x:c r="A11"/>
      <x:c r="B11" s="112" t="str">
        <x:v>Operating expenses</x:v>
      </x:c>
      <x:c r="C11" s="113"/>
      <x:c r="D11" s="136"/>
      <x:c r="E11" s="136"/>
      <x:c r="F11" s="136"/>
      <x:c r="G11" s="136"/>
      <x:c r="H11" s="136"/>
      <x:c r="I11" s="136"/>
      <x:c r="J11" s="136"/>
      <x:c r="K11" s="136"/>
      <x:c r="L11" s="136"/>
      <x:c r="M11" s="136"/>
      <x:c r="N11" s="136"/>
      <x:c r="O11" s="136"/>
      <x:c r="P11" s="132" t="str">
        <x:f>IF(COUNT(D11:O11)=12,SUM(D11:O11),"")</x:f>
      </x:c>
    </x:row>
    <x:row r="12">
      <x:c r="A12"/>
      <x:c r="B12" s="112" t="str">
        <x:v>Operating profit</x:v>
      </x:c>
      <x:c r="C12" s="113"/>
      <x:c r="D12" s="133" t="str">
        <x:f>IF(AND(ISNUMBER(D9),ISNUMBER(D11)),SUM(D9,D11),"")</x:f>
      </x:c>
      <x:c r="E12" s="133" t="str">
        <x:f>IF(AND(ISNUMBER(E9),ISNUMBER(E11)),SUM(E9,E11),"")</x:f>
      </x:c>
      <x:c r="F12" s="133" t="str">
        <x:f>IF(AND(ISNUMBER(F9),ISNUMBER(F11)),SUM(F9,F11),"")</x:f>
      </x:c>
      <x:c r="G12" s="133" t="str">
        <x:f>IF(AND(ISNUMBER(G9),ISNUMBER(G11)),SUM(G9,G11),"")</x:f>
      </x:c>
      <x:c r="H12" s="133" t="str">
        <x:f>IF(AND(ISNUMBER(H9),ISNUMBER(H11)),SUM(H9,H11),"")</x:f>
      </x:c>
      <x:c r="I12" s="133" t="str">
        <x:f>IF(AND(ISNUMBER(I9),ISNUMBER(I11)),SUM(I9,I11),"")</x:f>
      </x:c>
      <x:c r="J12" s="133" t="str">
        <x:f>IF(AND(ISNUMBER(J9),ISNUMBER(J11)),SUM(J9,J11),"")</x:f>
      </x:c>
      <x:c r="K12" s="133" t="str">
        <x:f>IF(AND(ISNUMBER(K9),ISNUMBER(K11)),SUM(K9,K11),"")</x:f>
      </x:c>
      <x:c r="L12" s="133" t="str">
        <x:f>IF(AND(ISNUMBER(L9),ISNUMBER(L11)),SUM(L9,L11),"")</x:f>
      </x:c>
      <x:c r="M12" s="133" t="str">
        <x:f>IF(AND(ISNUMBER(M9),ISNUMBER(M11)),SUM(M9,M11),"")</x:f>
      </x:c>
      <x:c r="N12" s="133" t="str">
        <x:f>IF(AND(ISNUMBER(N9),ISNUMBER(N11)),SUM(N9,N11),"")</x:f>
      </x:c>
      <x:c r="O12" s="133" t="str">
        <x:f>IF(AND(ISNUMBER(O9),ISNUMBER(O11)),SUM(O9,O11),"")</x:f>
      </x:c>
      <x:c r="P12" s="133" t="str">
        <x:f>IF(COUNT(D12:O12)=12,SUM(D12:O12),"")</x:f>
      </x:c>
    </x:row>
    <x:row r="13">
      <x:c r="A13"/>
      <x:c r="B13" s="112" t="str">
        <x:v>Operating margin</x:v>
      </x:c>
      <x:c r="C13" s="113"/>
      <x:c r="D13" s="135" t="str">
        <x:f>IF(AND(ISNUMBER(D12),D7&lt;&gt;0),D12/D7,"")</x:f>
      </x:c>
      <x:c r="E13" s="135" t="str">
        <x:f>IF(AND(ISNUMBER(E12),E7&lt;&gt;0),E12/E7,"")</x:f>
      </x:c>
      <x:c r="F13" s="135" t="str">
        <x:f>IF(AND(ISNUMBER(F12),F7&lt;&gt;0),F12/F7,"")</x:f>
      </x:c>
      <x:c r="G13" s="135" t="str">
        <x:f>IF(AND(ISNUMBER(G12),G7&lt;&gt;0),G12/G7,"")</x:f>
      </x:c>
      <x:c r="H13" s="135" t="str">
        <x:f>IF(AND(ISNUMBER(H12),H7&lt;&gt;0),H12/H7,"")</x:f>
      </x:c>
      <x:c r="I13" s="135" t="str">
        <x:f>IF(AND(ISNUMBER(I12),I7&lt;&gt;0),I12/I7,"")</x:f>
      </x:c>
      <x:c r="J13" s="135" t="str">
        <x:f>IF(AND(ISNUMBER(J12),J7&lt;&gt;0),J12/J7,"")</x:f>
      </x:c>
      <x:c r="K13" s="135" t="str">
        <x:f>IF(AND(ISNUMBER(K12),K7&lt;&gt;0),K12/K7,"")</x:f>
      </x:c>
      <x:c r="L13" s="135" t="str">
        <x:f>IF(AND(ISNUMBER(L12),L7&lt;&gt;0),L12/L7,"")</x:f>
      </x:c>
      <x:c r="M13" s="135" t="str">
        <x:f>IF(AND(ISNUMBER(M12),M7&lt;&gt;0),M12/M7,"")</x:f>
      </x:c>
      <x:c r="N13" s="135" t="str">
        <x:f>IF(AND(ISNUMBER(N12),N7&lt;&gt;0),N12/N7,"")</x:f>
      </x:c>
      <x:c r="O13" s="135" t="str">
        <x:f>IF(AND(ISNUMBER(O12),O7&lt;&gt;0),O12/O7,"")</x:f>
      </x:c>
      <x:c r="P13" s="135" t="str">
        <x:f>IF(AND(ISNUMBER(P12),P7&lt;&gt;0),P12/P7,"")</x:f>
      </x:c>
    </x:row>
    <x:row r="14">
      <x:c r="A14"/>
      <x:c r="B14" s="112" t="str">
        <x:v>Trainer days required</x:v>
      </x:c>
      <x:c r="C14" s="113"/>
      <x:c r="D14" s="137"/>
      <x:c r="E14" s="137"/>
      <x:c r="F14" s="137"/>
      <x:c r="G14" s="137"/>
      <x:c r="H14" s="137"/>
      <x:c r="I14" s="137"/>
      <x:c r="J14" s="137"/>
      <x:c r="K14" s="137"/>
      <x:c r="L14" s="137"/>
      <x:c r="M14" s="137"/>
      <x:c r="N14" s="137"/>
      <x:c r="O14" s="137"/>
      <x:c r="P14" s="139" t="str">
        <x:f>IF(COUNT(D14:O14)=12,SUM(D14:O14),"")</x:f>
      </x:c>
    </x:row>
    <x:row r="15">
      <x:c r="A15"/>
      <x:c r="B15" s="114" t="str">
        <x:v>Open seats sold</x:v>
      </x:c>
      <x:c r="C15" s="115"/>
      <x:c r="D15" s="138"/>
      <x:c r="E15" s="138"/>
      <x:c r="F15" s="138"/>
      <x:c r="G15" s="138"/>
      <x:c r="H15" s="138"/>
      <x:c r="I15" s="138"/>
      <x:c r="J15" s="138"/>
      <x:c r="K15" s="138"/>
      <x:c r="L15" s="138"/>
      <x:c r="M15" s="138"/>
      <x:c r="N15" s="138"/>
      <x:c r="O15" s="138"/>
      <x:c r="P15" s="140" t="str">
        <x:f>IF(COUNT(D15:O15)=12,SUM(D15:O15),"")</x:f>
      </x:c>
    </x:row>
    <x:row r="16">
      <x:c r="B16" s="103"/>
      <x:c r="C16" s="103"/>
      <x:c r="D16" s="103"/>
      <x:c r="E16" s="103"/>
      <x:c r="F16" s="103"/>
      <x:c r="G16" s="103"/>
      <x:c r="H16" s="103"/>
      <x:c r="I16" s="103"/>
      <x:c r="J16" s="103"/>
      <x:c r="K16" s="103"/>
      <x:c r="L16" s="103"/>
      <x:c r="M16" s="103"/>
      <x:c r="N16" s="103"/>
      <x:c r="O16" s="103"/>
      <x:c r="P16" s="103"/>
    </x:row>
    <x:row r="17" ht="24" customHeight="1">
      <x:c r="B17" s="107" t="str">
        <x:v>Yellow cells are your inputs or working formulas. Blue-grey cells calculate totals. Explain how sales, capacity and costs fit.</x:v>
      </x:c>
      <x:c r="C17" s="107"/>
      <x:c r="D17" s="107"/>
      <x:c r="E17" s="107"/>
      <x:c r="F17" s="107"/>
      <x:c r="G17" s="107"/>
      <x:c r="H17" s="107"/>
      <x:c r="I17" s="107"/>
      <x:c r="J17" s="107"/>
      <x:c r="K17" s="107"/>
      <x:c r="L17" s="107"/>
      <x:c r="M17" s="107"/>
      <x:c r="N17" s="107"/>
      <x:c r="O17" s="107"/>
      <x:c r="P17" s="107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8" hidden="0" customWidth="1"/>
    <x:col min="3" max="3" width="2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5" hidden="0" customWidth="1"/>
  </x:cols>
  <x:sheetData>
    <x:row r="2">
      <x:c r="B2" s="106" t="str">
        <x:v>Original draft and your two budgets</x:v>
      </x:c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</x:row>
    <x:row r="3">
      <x:c r="B3" s="107" t="str">
        <x:v>2026 monthly P&amp;L. EUR excluding VAT. Linked to sheets 08, 10 and 12.</x:v>
      </x:c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  <x:c r="M3" s="107"/>
      <x:c r="N3" s="107"/>
      <x:c r="O3" s="107"/>
      <x:c r="P3" s="107"/>
    </x:row>
    <x:row r="4">
      <x:c r="B4" s="107"/>
      <x:c r="C4" s="107"/>
      <x:c r="D4" s="107"/>
      <x:c r="E4" s="107"/>
      <x:c r="F4" s="107"/>
      <x:c r="G4" s="107"/>
      <x:c r="H4" s="107"/>
      <x:c r="I4" s="107"/>
      <x:c r="J4" s="107"/>
      <x:c r="K4" s="107"/>
      <x:c r="L4" s="107"/>
      <x:c r="M4" s="107"/>
      <x:c r="N4" s="107"/>
      <x:c r="O4" s="107"/>
      <x:c r="P4" s="107"/>
    </x:row>
    <x:row r="5">
      <x:c r="B5" s="107" t="str">
        <x:v>Part 1 corrects the expected outcome with no new decisions. Part 2 shows the effects of your management decisions.</x:v>
      </x:c>
      <x:c r="C5" s="107"/>
      <x:c r="D5" s="107"/>
      <x:c r="E5" s="107"/>
      <x:c r="F5" s="107"/>
      <x:c r="G5" s="107"/>
      <x:c r="H5" s="107"/>
      <x:c r="I5" s="107"/>
      <x:c r="J5" s="107"/>
      <x:c r="K5" s="107"/>
      <x:c r="L5" s="107"/>
      <x:c r="M5" s="107"/>
      <x:c r="N5" s="107"/>
      <x:c r="O5" s="107"/>
      <x:c r="P5" s="107"/>
    </x:row>
    <x:row r="6">
      <x:c r="B6" s="109" t="str">
        <x:v>P&amp;L line</x:v>
      </x:c>
      <x:c r="C6" s="109" t="str">
        <x:v>Version</x:v>
      </x:c>
      <x:c r="D6" s="109" t="str">
        <x:v>Jan</x:v>
      </x:c>
      <x:c r="E6" s="109" t="str">
        <x:v>Feb</x:v>
      </x:c>
      <x:c r="F6" s="109" t="str">
        <x:v>Mar</x:v>
      </x:c>
      <x:c r="G6" s="109" t="str">
        <x:v>Apr</x:v>
      </x:c>
      <x:c r="H6" s="109" t="str">
        <x:v>May</x:v>
      </x:c>
      <x:c r="I6" s="109" t="str">
        <x:v>Jun</x:v>
      </x:c>
      <x:c r="J6" s="109" t="str">
        <x:v>Jul</x:v>
      </x:c>
      <x:c r="K6" s="109" t="str">
        <x:v>Aug</x:v>
      </x:c>
      <x:c r="L6" s="109" t="str">
        <x:v>Sep</x:v>
      </x:c>
      <x:c r="M6" s="109" t="str">
        <x:v>Oct</x:v>
      </x:c>
      <x:c r="N6" s="109" t="str">
        <x:v>Nov</x:v>
      </x:c>
      <x:c r="O6" s="109" t="str">
        <x:v>Dec</x:v>
      </x:c>
      <x:c r="P6" s="109" t="str">
        <x:v>FY Total</x:v>
      </x:c>
    </x:row>
    <x:row r="7" ht="24" customHeight="1">
      <x:c r="B7" s="143" t="str">
        <x:v>Revenue</x:v>
      </x:c>
      <x:c r="C7" s="157" t="str">
        <x:v>Original draft</x:v>
      </x:c>
      <x:c r="D7" s="146" t="n">
        <x:f>IF(ISNUMBER('08 Draft P&amp;L'!D7),'08 Draft P&amp;L'!D7,"")</x:f>
        <x:v>55500</x:v>
      </x:c>
      <x:c r="E7" s="146" t="n">
        <x:f>IF(ISNUMBER('08 Draft P&amp;L'!E7),'08 Draft P&amp;L'!E7,"")</x:f>
        <x:v>63000</x:v>
      </x:c>
      <x:c r="F7" s="146" t="n">
        <x:f>IF(ISNUMBER('08 Draft P&amp;L'!F7),'08 Draft P&amp;L'!F7,"")</x:f>
        <x:v>69500</x:v>
      </x:c>
      <x:c r="G7" s="146" t="n">
        <x:f>IF(ISNUMBER('08 Draft P&amp;L'!G7),'08 Draft P&amp;L'!G7,"")</x:f>
        <x:v>80500</x:v>
      </x:c>
      <x:c r="H7" s="146" t="n">
        <x:f>IF(ISNUMBER('08 Draft P&amp;L'!H7),'08 Draft P&amp;L'!H7,"")</x:f>
        <x:v>68000</x:v>
      </x:c>
      <x:c r="I7" s="146" t="n">
        <x:f>IF(ISNUMBER('08 Draft P&amp;L'!I7),'08 Draft P&amp;L'!I7,"")</x:f>
        <x:v>73500</x:v>
      </x:c>
      <x:c r="J7" s="146" t="n">
        <x:f>IF(ISNUMBER('08 Draft P&amp;L'!J7),'08 Draft P&amp;L'!J7,"")</x:f>
        <x:v>60000</x:v>
      </x:c>
      <x:c r="K7" s="146" t="n">
        <x:f>IF(ISNUMBER('08 Draft P&amp;L'!K7),'08 Draft P&amp;L'!K7,"")</x:f>
        <x:v>91500</x:v>
      </x:c>
      <x:c r="L7" s="146" t="n">
        <x:f>IF(ISNUMBER('08 Draft P&amp;L'!L7),'08 Draft P&amp;L'!L7,"")</x:f>
        <x:v>113500</x:v>
      </x:c>
      <x:c r="M7" s="146" t="n">
        <x:f>IF(ISNUMBER('08 Draft P&amp;L'!M7),'08 Draft P&amp;L'!M7,"")</x:f>
        <x:v>124000</x:v>
      </x:c>
      <x:c r="N7" s="146" t="n">
        <x:f>IF(ISNUMBER('08 Draft P&amp;L'!N7),'08 Draft P&amp;L'!N7,"")</x:f>
        <x:v>103500</x:v>
      </x:c>
      <x:c r="O7" s="146" t="n">
        <x:f>IF(ISNUMBER('08 Draft P&amp;L'!O7),'08 Draft P&amp;L'!O7,"")</x:f>
        <x:v>87000</x:v>
      </x:c>
      <x:c r="P7" s="151" t="n">
        <x:f>IF(ISNUMBER('08 Draft P&amp;L'!P7),'08 Draft P&amp;L'!P7,"")</x:f>
        <x:v>989500</x:v>
      </x:c>
    </x:row>
    <x:row r="8" ht="24" customHeight="1">
      <x:c r="B8" s="144"/>
      <x:c r="C8" s="158" t="str">
        <x:v>Part 1 Red-pencil correction</x:v>
      </x:c>
      <x:c r="D8" s="147" t="str">
        <x:f>IF(ISNUMBER('10 Corrected Budget'!D7),'10 Corrected Budget'!D7,"")</x:f>
      </x:c>
      <x:c r="E8" s="147" t="str">
        <x:f>IF(ISNUMBER('10 Corrected Budget'!E7),'10 Corrected Budget'!E7,"")</x:f>
      </x:c>
      <x:c r="F8" s="147" t="str">
        <x:f>IF(ISNUMBER('10 Corrected Budget'!F7),'10 Corrected Budget'!F7,"")</x:f>
      </x:c>
      <x:c r="G8" s="147" t="str">
        <x:f>IF(ISNUMBER('10 Corrected Budget'!G7),'10 Corrected Budget'!G7,"")</x:f>
      </x:c>
      <x:c r="H8" s="147" t="str">
        <x:f>IF(ISNUMBER('10 Corrected Budget'!H7),'10 Corrected Budget'!H7,"")</x:f>
      </x:c>
      <x:c r="I8" s="147" t="str">
        <x:f>IF(ISNUMBER('10 Corrected Budget'!I7),'10 Corrected Budget'!I7,"")</x:f>
      </x:c>
      <x:c r="J8" s="147" t="str">
        <x:f>IF(ISNUMBER('10 Corrected Budget'!J7),'10 Corrected Budget'!J7,"")</x:f>
      </x:c>
      <x:c r="K8" s="147" t="str">
        <x:f>IF(ISNUMBER('10 Corrected Budget'!K7),'10 Corrected Budget'!K7,"")</x:f>
      </x:c>
      <x:c r="L8" s="147" t="str">
        <x:f>IF(ISNUMBER('10 Corrected Budget'!L7),'10 Corrected Budget'!L7,"")</x:f>
      </x:c>
      <x:c r="M8" s="147" t="str">
        <x:f>IF(ISNUMBER('10 Corrected Budget'!M7),'10 Corrected Budget'!M7,"")</x:f>
      </x:c>
      <x:c r="N8" s="147" t="str">
        <x:f>IF(ISNUMBER('10 Corrected Budget'!N7),'10 Corrected Budget'!N7,"")</x:f>
      </x:c>
      <x:c r="O8" s="147" t="str">
        <x:f>IF(ISNUMBER('10 Corrected Budget'!O7),'10 Corrected Budget'!O7,"")</x:f>
      </x:c>
      <x:c r="P8" s="153" t="str">
        <x:f>IF(ISNUMBER('10 Corrected Budget'!P7),'10 Corrected Budget'!P7,"")</x:f>
      </x:c>
    </x:row>
    <x:row r="9" ht="24" customHeight="1">
      <x:c r="B9" s="145"/>
      <x:c r="C9" s="159" t="str">
        <x:v>Part 2 Management plan</x:v>
      </x:c>
      <x:c r="D9" s="148" t="str">
        <x:f>IF(ISNUMBER('12 Management Budget'!D7),'12 Management Budget'!D7,"")</x:f>
      </x:c>
      <x:c r="E9" s="148" t="str">
        <x:f>IF(ISNUMBER('12 Management Budget'!E7),'12 Management Budget'!E7,"")</x:f>
      </x:c>
      <x:c r="F9" s="148" t="str">
        <x:f>IF(ISNUMBER('12 Management Budget'!F7),'12 Management Budget'!F7,"")</x:f>
      </x:c>
      <x:c r="G9" s="148" t="str">
        <x:f>IF(ISNUMBER('12 Management Budget'!G7),'12 Management Budget'!G7,"")</x:f>
      </x:c>
      <x:c r="H9" s="148" t="str">
        <x:f>IF(ISNUMBER('12 Management Budget'!H7),'12 Management Budget'!H7,"")</x:f>
      </x:c>
      <x:c r="I9" s="148" t="str">
        <x:f>IF(ISNUMBER('12 Management Budget'!I7),'12 Management Budget'!I7,"")</x:f>
      </x:c>
      <x:c r="J9" s="148" t="str">
        <x:f>IF(ISNUMBER('12 Management Budget'!J7),'12 Management Budget'!J7,"")</x:f>
      </x:c>
      <x:c r="K9" s="148" t="str">
        <x:f>IF(ISNUMBER('12 Management Budget'!K7),'12 Management Budget'!K7,"")</x:f>
      </x:c>
      <x:c r="L9" s="148" t="str">
        <x:f>IF(ISNUMBER('12 Management Budget'!L7),'12 Management Budget'!L7,"")</x:f>
      </x:c>
      <x:c r="M9" s="148" t="str">
        <x:f>IF(ISNUMBER('12 Management Budget'!M7),'12 Management Budget'!M7,"")</x:f>
      </x:c>
      <x:c r="N9" s="148" t="str">
        <x:f>IF(ISNUMBER('12 Management Budget'!N7),'12 Management Budget'!N7,"")</x:f>
      </x:c>
      <x:c r="O9" s="148" t="str">
        <x:f>IF(ISNUMBER('12 Management Budget'!O7),'12 Management Budget'!O7,"")</x:f>
      </x:c>
      <x:c r="P9" s="155" t="str">
        <x:f>IF(ISNUMBER('12 Management Budget'!P7),'12 Management Budget'!P7,"")</x:f>
      </x:c>
    </x:row>
    <x:row r="10" ht="24" customHeight="1">
      <x:c r="B10" s="103"/>
      <x:c r="C10" s="104"/>
      <x:c r="D10" s="149"/>
      <x:c r="E10" s="149"/>
      <x:c r="F10" s="149"/>
      <x:c r="G10" s="149"/>
      <x:c r="H10" s="149"/>
      <x:c r="I10" s="149"/>
      <x:c r="J10" s="149"/>
      <x:c r="K10" s="149"/>
      <x:c r="L10" s="149"/>
      <x:c r="M10" s="149"/>
      <x:c r="N10" s="149"/>
      <x:c r="O10" s="149"/>
      <x:c r="P10" s="156"/>
    </x:row>
    <x:row r="11" ht="24" customHeight="1">
      <x:c r="B11" s="143" t="str">
        <x:v>Direct delivery costs</x:v>
      </x:c>
      <x:c r="C11" s="157" t="str">
        <x:v>Original draft</x:v>
      </x:c>
      <x:c r="D11" s="146" t="n">
        <x:f>IF(ISNUMBER('08 Draft P&amp;L'!D8),'08 Draft P&amp;L'!D8,"")</x:f>
        <x:v>-4000</x:v>
      </x:c>
      <x:c r="E11" s="146" t="n">
        <x:f>IF(ISNUMBER('08 Draft P&amp;L'!E8),'08 Draft P&amp;L'!E8,"")</x:f>
        <x:v>-5955</x:v>
      </x:c>
      <x:c r="F11" s="146" t="n">
        <x:f>IF(ISNUMBER('08 Draft P&amp;L'!F8),'08 Draft P&amp;L'!F8,"")</x:f>
        <x:v>-6250</x:v>
      </x:c>
      <x:c r="G11" s="146" t="n">
        <x:f>IF(ISNUMBER('08 Draft P&amp;L'!G8),'08 Draft P&amp;L'!G8,"")</x:f>
        <x:v>-6152.5</x:v>
      </x:c>
      <x:c r="H11" s="146" t="n">
        <x:f>IF(ISNUMBER('08 Draft P&amp;L'!H8),'08 Draft P&amp;L'!H8,"")</x:f>
        <x:v>-4805</x:v>
      </x:c>
      <x:c r="I11" s="146" t="n">
        <x:f>IF(ISNUMBER('08 Draft P&amp;L'!I8),'08 Draft P&amp;L'!I8,"")</x:f>
        <x:v>-8025</x:v>
      </x:c>
      <x:c r="J11" s="146" t="n">
        <x:f>IF(ISNUMBER('08 Draft P&amp;L'!J8),'08 Draft P&amp;L'!J8,"")</x:f>
        <x:v>-1125</x:v>
      </x:c>
      <x:c r="K11" s="146" t="n">
        <x:f>IF(ISNUMBER('08 Draft P&amp;L'!K8),'08 Draft P&amp;L'!K8,"")</x:f>
        <x:v>-4550</x:v>
      </x:c>
      <x:c r="L11" s="146" t="n">
        <x:f>IF(ISNUMBER('08 Draft P&amp;L'!L8),'08 Draft P&amp;L'!L8,"")</x:f>
        <x:v>-13770</x:v>
      </x:c>
      <x:c r="M11" s="146" t="n">
        <x:f>IF(ISNUMBER('08 Draft P&amp;L'!M8),'08 Draft P&amp;L'!M8,"")</x:f>
        <x:v>-8497.5</x:v>
      </x:c>
      <x:c r="N11" s="146" t="n">
        <x:f>IF(ISNUMBER('08 Draft P&amp;L'!N8),'08 Draft P&amp;L'!N8,"")</x:f>
        <x:v>-10240</x:v>
      </x:c>
      <x:c r="O11" s="146" t="n">
        <x:f>IF(ISNUMBER('08 Draft P&amp;L'!O8),'08 Draft P&amp;L'!O8,"")</x:f>
        <x:v>-3825</x:v>
      </x:c>
      <x:c r="P11" s="151" t="n">
        <x:f>IF(ISNUMBER('08 Draft P&amp;L'!P8),'08 Draft P&amp;L'!P8,"")</x:f>
        <x:v>-77195</x:v>
      </x:c>
    </x:row>
    <x:row r="12" ht="24" customHeight="1">
      <x:c r="B12" s="144"/>
      <x:c r="C12" s="158" t="str">
        <x:v>Part 1 Red-pencil correction</x:v>
      </x:c>
      <x:c r="D12" s="147" t="str">
        <x:f>IF(ISNUMBER('10 Corrected Budget'!D8),'10 Corrected Budget'!D8,"")</x:f>
      </x:c>
      <x:c r="E12" s="147" t="str">
        <x:f>IF(ISNUMBER('10 Corrected Budget'!E8),'10 Corrected Budget'!E8,"")</x:f>
      </x:c>
      <x:c r="F12" s="147" t="str">
        <x:f>IF(ISNUMBER('10 Corrected Budget'!F8),'10 Corrected Budget'!F8,"")</x:f>
      </x:c>
      <x:c r="G12" s="147" t="str">
        <x:f>IF(ISNUMBER('10 Corrected Budget'!G8),'10 Corrected Budget'!G8,"")</x:f>
      </x:c>
      <x:c r="H12" s="147" t="str">
        <x:f>IF(ISNUMBER('10 Corrected Budget'!H8),'10 Corrected Budget'!H8,"")</x:f>
      </x:c>
      <x:c r="I12" s="147" t="str">
        <x:f>IF(ISNUMBER('10 Corrected Budget'!I8),'10 Corrected Budget'!I8,"")</x:f>
      </x:c>
      <x:c r="J12" s="147" t="str">
        <x:f>IF(ISNUMBER('10 Corrected Budget'!J8),'10 Corrected Budget'!J8,"")</x:f>
      </x:c>
      <x:c r="K12" s="147" t="str">
        <x:f>IF(ISNUMBER('10 Corrected Budget'!K8),'10 Corrected Budget'!K8,"")</x:f>
      </x:c>
      <x:c r="L12" s="147" t="str">
        <x:f>IF(ISNUMBER('10 Corrected Budget'!L8),'10 Corrected Budget'!L8,"")</x:f>
      </x:c>
      <x:c r="M12" s="147" t="str">
        <x:f>IF(ISNUMBER('10 Corrected Budget'!M8),'10 Corrected Budget'!M8,"")</x:f>
      </x:c>
      <x:c r="N12" s="147" t="str">
        <x:f>IF(ISNUMBER('10 Corrected Budget'!N8),'10 Corrected Budget'!N8,"")</x:f>
      </x:c>
      <x:c r="O12" s="147" t="str">
        <x:f>IF(ISNUMBER('10 Corrected Budget'!O8),'10 Corrected Budget'!O8,"")</x:f>
      </x:c>
      <x:c r="P12" s="153" t="str">
        <x:f>IF(ISNUMBER('10 Corrected Budget'!P8),'10 Corrected Budget'!P8,"")</x:f>
      </x:c>
    </x:row>
    <x:row r="13" ht="24" customHeight="1">
      <x:c r="B13" s="145"/>
      <x:c r="C13" s="159" t="str">
        <x:v>Part 2 Management plan</x:v>
      </x:c>
      <x:c r="D13" s="148" t="str">
        <x:f>IF(ISNUMBER('12 Management Budget'!D8),'12 Management Budget'!D8,"")</x:f>
      </x:c>
      <x:c r="E13" s="148" t="str">
        <x:f>IF(ISNUMBER('12 Management Budget'!E8),'12 Management Budget'!E8,"")</x:f>
      </x:c>
      <x:c r="F13" s="148" t="str">
        <x:f>IF(ISNUMBER('12 Management Budget'!F8),'12 Management Budget'!F8,"")</x:f>
      </x:c>
      <x:c r="G13" s="148" t="str">
        <x:f>IF(ISNUMBER('12 Management Budget'!G8),'12 Management Budget'!G8,"")</x:f>
      </x:c>
      <x:c r="H13" s="148" t="str">
        <x:f>IF(ISNUMBER('12 Management Budget'!H8),'12 Management Budget'!H8,"")</x:f>
      </x:c>
      <x:c r="I13" s="148" t="str">
        <x:f>IF(ISNUMBER('12 Management Budget'!I8),'12 Management Budget'!I8,"")</x:f>
      </x:c>
      <x:c r="J13" s="148" t="str">
        <x:f>IF(ISNUMBER('12 Management Budget'!J8),'12 Management Budget'!J8,"")</x:f>
      </x:c>
      <x:c r="K13" s="148" t="str">
        <x:f>IF(ISNUMBER('12 Management Budget'!K8),'12 Management Budget'!K8,"")</x:f>
      </x:c>
      <x:c r="L13" s="148" t="str">
        <x:f>IF(ISNUMBER('12 Management Budget'!L8),'12 Management Budget'!L8,"")</x:f>
      </x:c>
      <x:c r="M13" s="148" t="str">
        <x:f>IF(ISNUMBER('12 Management Budget'!M8),'12 Management Budget'!M8,"")</x:f>
      </x:c>
      <x:c r="N13" s="148" t="str">
        <x:f>IF(ISNUMBER('12 Management Budget'!N8),'12 Management Budget'!N8,"")</x:f>
      </x:c>
      <x:c r="O13" s="148" t="str">
        <x:f>IF(ISNUMBER('12 Management Budget'!O8),'12 Management Budget'!O8,"")</x:f>
      </x:c>
      <x:c r="P13" s="155" t="str">
        <x:f>IF(ISNUMBER('12 Management Budget'!P8),'12 Management Budget'!P8,"")</x:f>
      </x:c>
    </x:row>
    <x:row r="14" ht="24" customHeight="1">
      <x:c r="B14" s="103"/>
      <x:c r="C14" s="104"/>
      <x:c r="D14" s="149"/>
      <x:c r="E14" s="149"/>
      <x:c r="F14" s="149"/>
      <x:c r="G14" s="149"/>
      <x:c r="H14" s="149"/>
      <x:c r="I14" s="149"/>
      <x:c r="J14" s="149"/>
      <x:c r="K14" s="149"/>
      <x:c r="L14" s="149"/>
      <x:c r="M14" s="149"/>
      <x:c r="N14" s="149"/>
      <x:c r="O14" s="149"/>
      <x:c r="P14" s="156"/>
    </x:row>
    <x:row r="15" ht="24" customHeight="1">
      <x:c r="B15" s="143" t="str">
        <x:v>Contribution</x:v>
      </x:c>
      <x:c r="C15" s="157" t="str">
        <x:v>Original draft</x:v>
      </x:c>
      <x:c r="D15" s="146" t="n">
        <x:f>IF(ISNUMBER('08 Draft P&amp;L'!D9),'08 Draft P&amp;L'!D9,"")</x:f>
        <x:v>51500</x:v>
      </x:c>
      <x:c r="E15" s="146" t="n">
        <x:f>IF(ISNUMBER('08 Draft P&amp;L'!E9),'08 Draft P&amp;L'!E9,"")</x:f>
        <x:v>57045</x:v>
      </x:c>
      <x:c r="F15" s="146" t="n">
        <x:f>IF(ISNUMBER('08 Draft P&amp;L'!F9),'08 Draft P&amp;L'!F9,"")</x:f>
        <x:v>63250</x:v>
      </x:c>
      <x:c r="G15" s="146" t="n">
        <x:f>IF(ISNUMBER('08 Draft P&amp;L'!G9),'08 Draft P&amp;L'!G9,"")</x:f>
        <x:v>74347.5</x:v>
      </x:c>
      <x:c r="H15" s="146" t="n">
        <x:f>IF(ISNUMBER('08 Draft P&amp;L'!H9),'08 Draft P&amp;L'!H9,"")</x:f>
        <x:v>63195</x:v>
      </x:c>
      <x:c r="I15" s="146" t="n">
        <x:f>IF(ISNUMBER('08 Draft P&amp;L'!I9),'08 Draft P&amp;L'!I9,"")</x:f>
        <x:v>65475</x:v>
      </x:c>
      <x:c r="J15" s="146" t="n">
        <x:f>IF(ISNUMBER('08 Draft P&amp;L'!J9),'08 Draft P&amp;L'!J9,"")</x:f>
        <x:v>58875</x:v>
      </x:c>
      <x:c r="K15" s="146" t="n">
        <x:f>IF(ISNUMBER('08 Draft P&amp;L'!K9),'08 Draft P&amp;L'!K9,"")</x:f>
        <x:v>86950</x:v>
      </x:c>
      <x:c r="L15" s="146" t="n">
        <x:f>IF(ISNUMBER('08 Draft P&amp;L'!L9),'08 Draft P&amp;L'!L9,"")</x:f>
        <x:v>99730</x:v>
      </x:c>
      <x:c r="M15" s="146" t="n">
        <x:f>IF(ISNUMBER('08 Draft P&amp;L'!M9),'08 Draft P&amp;L'!M9,"")</x:f>
        <x:v>115502.5</x:v>
      </x:c>
      <x:c r="N15" s="146" t="n">
        <x:f>IF(ISNUMBER('08 Draft P&amp;L'!N9),'08 Draft P&amp;L'!N9,"")</x:f>
        <x:v>93260</x:v>
      </x:c>
      <x:c r="O15" s="146" t="n">
        <x:f>IF(ISNUMBER('08 Draft P&amp;L'!O9),'08 Draft P&amp;L'!O9,"")</x:f>
        <x:v>83175</x:v>
      </x:c>
      <x:c r="P15" s="151" t="n">
        <x:f>IF(ISNUMBER('08 Draft P&amp;L'!P9),'08 Draft P&amp;L'!P9,"")</x:f>
        <x:v>912305</x:v>
      </x:c>
    </x:row>
    <x:row r="16" ht="24" customHeight="1">
      <x:c r="B16" s="144"/>
      <x:c r="C16" s="158" t="str">
        <x:v>Part 1 Red-pencil correction</x:v>
      </x:c>
      <x:c r="D16" s="147" t="str">
        <x:f>IF(ISNUMBER('10 Corrected Budget'!D9),'10 Corrected Budget'!D9,"")</x:f>
      </x:c>
      <x:c r="E16" s="147" t="str">
        <x:f>IF(ISNUMBER('10 Corrected Budget'!E9),'10 Corrected Budget'!E9,"")</x:f>
      </x:c>
      <x:c r="F16" s="147" t="str">
        <x:f>IF(ISNUMBER('10 Corrected Budget'!F9),'10 Corrected Budget'!F9,"")</x:f>
      </x:c>
      <x:c r="G16" s="147" t="str">
        <x:f>IF(ISNUMBER('10 Corrected Budget'!G9),'10 Corrected Budget'!G9,"")</x:f>
      </x:c>
      <x:c r="H16" s="147" t="str">
        <x:f>IF(ISNUMBER('10 Corrected Budget'!H9),'10 Corrected Budget'!H9,"")</x:f>
      </x:c>
      <x:c r="I16" s="147" t="str">
        <x:f>IF(ISNUMBER('10 Corrected Budget'!I9),'10 Corrected Budget'!I9,"")</x:f>
      </x:c>
      <x:c r="J16" s="147" t="str">
        <x:f>IF(ISNUMBER('10 Corrected Budget'!J9),'10 Corrected Budget'!J9,"")</x:f>
      </x:c>
      <x:c r="K16" s="147" t="str">
        <x:f>IF(ISNUMBER('10 Corrected Budget'!K9),'10 Corrected Budget'!K9,"")</x:f>
      </x:c>
      <x:c r="L16" s="147" t="str">
        <x:f>IF(ISNUMBER('10 Corrected Budget'!L9),'10 Corrected Budget'!L9,"")</x:f>
      </x:c>
      <x:c r="M16" s="147" t="str">
        <x:f>IF(ISNUMBER('10 Corrected Budget'!M9),'10 Corrected Budget'!M9,"")</x:f>
      </x:c>
      <x:c r="N16" s="147" t="str">
        <x:f>IF(ISNUMBER('10 Corrected Budget'!N9),'10 Corrected Budget'!N9,"")</x:f>
      </x:c>
      <x:c r="O16" s="147" t="str">
        <x:f>IF(ISNUMBER('10 Corrected Budget'!O9),'10 Corrected Budget'!O9,"")</x:f>
      </x:c>
      <x:c r="P16" s="153" t="str">
        <x:f>IF(ISNUMBER('10 Corrected Budget'!P9),'10 Corrected Budget'!P9,"")</x:f>
      </x:c>
    </x:row>
    <x:row r="17" ht="24" customHeight="1">
      <x:c r="B17" s="145"/>
      <x:c r="C17" s="159" t="str">
        <x:v>Part 2 Management plan</x:v>
      </x:c>
      <x:c r="D17" s="148" t="str">
        <x:f>IF(ISNUMBER('12 Management Budget'!D9),'12 Management Budget'!D9,"")</x:f>
      </x:c>
      <x:c r="E17" s="148" t="str">
        <x:f>IF(ISNUMBER('12 Management Budget'!E9),'12 Management Budget'!E9,"")</x:f>
      </x:c>
      <x:c r="F17" s="148" t="str">
        <x:f>IF(ISNUMBER('12 Management Budget'!F9),'12 Management Budget'!F9,"")</x:f>
      </x:c>
      <x:c r="G17" s="148" t="str">
        <x:f>IF(ISNUMBER('12 Management Budget'!G9),'12 Management Budget'!G9,"")</x:f>
      </x:c>
      <x:c r="H17" s="148" t="str">
        <x:f>IF(ISNUMBER('12 Management Budget'!H9),'12 Management Budget'!H9,"")</x:f>
      </x:c>
      <x:c r="I17" s="148" t="str">
        <x:f>IF(ISNUMBER('12 Management Budget'!I9),'12 Management Budget'!I9,"")</x:f>
      </x:c>
      <x:c r="J17" s="148" t="str">
        <x:f>IF(ISNUMBER('12 Management Budget'!J9),'12 Management Budget'!J9,"")</x:f>
      </x:c>
      <x:c r="K17" s="148" t="str">
        <x:f>IF(ISNUMBER('12 Management Budget'!K9),'12 Management Budget'!K9,"")</x:f>
      </x:c>
      <x:c r="L17" s="148" t="str">
        <x:f>IF(ISNUMBER('12 Management Budget'!L9),'12 Management Budget'!L9,"")</x:f>
      </x:c>
      <x:c r="M17" s="148" t="str">
        <x:f>IF(ISNUMBER('12 Management Budget'!M9),'12 Management Budget'!M9,"")</x:f>
      </x:c>
      <x:c r="N17" s="148" t="str">
        <x:f>IF(ISNUMBER('12 Management Budget'!N9),'12 Management Budget'!N9,"")</x:f>
      </x:c>
      <x:c r="O17" s="148" t="str">
        <x:f>IF(ISNUMBER('12 Management Budget'!O9),'12 Management Budget'!O9,"")</x:f>
      </x:c>
      <x:c r="P17" s="155" t="str">
        <x:f>IF(ISNUMBER('12 Management Budget'!P9),'12 Management Budget'!P9,"")</x:f>
      </x:c>
    </x:row>
    <x:row r="18" ht="24" customHeight="1">
      <x:c r="B18" s="103"/>
      <x:c r="C18" s="104"/>
      <x:c r="D18" s="149"/>
      <x:c r="E18" s="149"/>
      <x:c r="F18" s="149"/>
      <x:c r="G18" s="149"/>
      <x:c r="H18" s="149"/>
      <x:c r="I18" s="149"/>
      <x:c r="J18" s="149"/>
      <x:c r="K18" s="149"/>
      <x:c r="L18" s="149"/>
      <x:c r="M18" s="149"/>
      <x:c r="N18" s="149"/>
      <x:c r="O18" s="149"/>
      <x:c r="P18" s="156"/>
    </x:row>
    <x:row r="19" ht="24" customHeight="1">
      <x:c r="B19" s="143" t="str">
        <x:v>Operating expenses</x:v>
      </x:c>
      <x:c r="C19" s="157" t="str">
        <x:v>Original draft</x:v>
      </x:c>
      <x:c r="D19" s="146" t="n">
        <x:f>IF(ISNUMBER('08 Draft P&amp;L'!D11),'08 Draft P&amp;L'!D11,"")</x:f>
        <x:v>-24725</x:v>
      </x:c>
      <x:c r="E19" s="146" t="n">
        <x:f>IF(ISNUMBER('08 Draft P&amp;L'!E11),'08 Draft P&amp;L'!E11,"")</x:f>
        <x:v>-24225</x:v>
      </x:c>
      <x:c r="F19" s="146" t="n">
        <x:f>IF(ISNUMBER('08 Draft P&amp;L'!F11),'08 Draft P&amp;L'!F11,"")</x:f>
        <x:v>-24225</x:v>
      </x:c>
      <x:c r="G19" s="146" t="n">
        <x:f>IF(ISNUMBER('08 Draft P&amp;L'!G11),'08 Draft P&amp;L'!G11,"")</x:f>
        <x:v>-25525</x:v>
      </x:c>
      <x:c r="H19" s="146" t="n">
        <x:f>IF(ISNUMBER('08 Draft P&amp;L'!H11),'08 Draft P&amp;L'!H11,"")</x:f>
        <x:v>-23225</x:v>
      </x:c>
      <x:c r="I19" s="146" t="n">
        <x:f>IF(ISNUMBER('08 Draft P&amp;L'!I11),'08 Draft P&amp;L'!I11,"")</x:f>
        <x:v>-22725</x:v>
      </x:c>
      <x:c r="J19" s="146" t="n">
        <x:f>IF(ISNUMBER('08 Draft P&amp;L'!J11),'08 Draft P&amp;L'!J11,"")</x:f>
        <x:v>-21225</x:v>
      </x:c>
      <x:c r="K19" s="146" t="n">
        <x:f>IF(ISNUMBER('08 Draft P&amp;L'!K11),'08 Draft P&amp;L'!K11,"")</x:f>
        <x:v>-22225</x:v>
      </x:c>
      <x:c r="L19" s="146" t="n">
        <x:f>IF(ISNUMBER('08 Draft P&amp;L'!L11),'08 Draft P&amp;L'!L11,"")</x:f>
        <x:v>-24725</x:v>
      </x:c>
      <x:c r="M19" s="146" t="n">
        <x:f>IF(ISNUMBER('08 Draft P&amp;L'!M11),'08 Draft P&amp;L'!M11,"")</x:f>
        <x:v>-25225</x:v>
      </x:c>
      <x:c r="N19" s="146" t="n">
        <x:f>IF(ISNUMBER('08 Draft P&amp;L'!N11),'08 Draft P&amp;L'!N11,"")</x:f>
        <x:v>-24225</x:v>
      </x:c>
      <x:c r="O19" s="146" t="n">
        <x:f>IF(ISNUMBER('08 Draft P&amp;L'!O11),'08 Draft P&amp;L'!O11,"")</x:f>
        <x:v>-22725</x:v>
      </x:c>
      <x:c r="P19" s="151" t="n">
        <x:f>IF(ISNUMBER('08 Draft P&amp;L'!P11),'08 Draft P&amp;L'!P11,"")</x:f>
        <x:v>-285000</x:v>
      </x:c>
    </x:row>
    <x:row r="20" ht="24" customHeight="1">
      <x:c r="B20" s="144"/>
      <x:c r="C20" s="158" t="str">
        <x:v>Part 1 Red-pencil correction</x:v>
      </x:c>
      <x:c r="D20" s="147" t="str">
        <x:f>IF(ISNUMBER('10 Corrected Budget'!D11),'10 Corrected Budget'!D11,"")</x:f>
      </x:c>
      <x:c r="E20" s="147" t="str">
        <x:f>IF(ISNUMBER('10 Corrected Budget'!E11),'10 Corrected Budget'!E11,"")</x:f>
      </x:c>
      <x:c r="F20" s="147" t="str">
        <x:f>IF(ISNUMBER('10 Corrected Budget'!F11),'10 Corrected Budget'!F11,"")</x:f>
      </x:c>
      <x:c r="G20" s="147" t="str">
        <x:f>IF(ISNUMBER('10 Corrected Budget'!G11),'10 Corrected Budget'!G11,"")</x:f>
      </x:c>
      <x:c r="H20" s="147" t="str">
        <x:f>IF(ISNUMBER('10 Corrected Budget'!H11),'10 Corrected Budget'!H11,"")</x:f>
      </x:c>
      <x:c r="I20" s="147" t="str">
        <x:f>IF(ISNUMBER('10 Corrected Budget'!I11),'10 Corrected Budget'!I11,"")</x:f>
      </x:c>
      <x:c r="J20" s="147" t="str">
        <x:f>IF(ISNUMBER('10 Corrected Budget'!J11),'10 Corrected Budget'!J11,"")</x:f>
      </x:c>
      <x:c r="K20" s="147" t="str">
        <x:f>IF(ISNUMBER('10 Corrected Budget'!K11),'10 Corrected Budget'!K11,"")</x:f>
      </x:c>
      <x:c r="L20" s="147" t="str">
        <x:f>IF(ISNUMBER('10 Corrected Budget'!L11),'10 Corrected Budget'!L11,"")</x:f>
      </x:c>
      <x:c r="M20" s="147" t="str">
        <x:f>IF(ISNUMBER('10 Corrected Budget'!M11),'10 Corrected Budget'!M11,"")</x:f>
      </x:c>
      <x:c r="N20" s="147" t="str">
        <x:f>IF(ISNUMBER('10 Corrected Budget'!N11),'10 Corrected Budget'!N11,"")</x:f>
      </x:c>
      <x:c r="O20" s="147" t="str">
        <x:f>IF(ISNUMBER('10 Corrected Budget'!O11),'10 Corrected Budget'!O11,"")</x:f>
      </x:c>
      <x:c r="P20" s="153" t="str">
        <x:f>IF(ISNUMBER('10 Corrected Budget'!P11),'10 Corrected Budget'!P11,"")</x:f>
      </x:c>
    </x:row>
    <x:row r="21" ht="24" customHeight="1">
      <x:c r="B21" s="145"/>
      <x:c r="C21" s="159" t="str">
        <x:v>Part 2 Management plan</x:v>
      </x:c>
      <x:c r="D21" s="148" t="str">
        <x:f>IF(ISNUMBER('12 Management Budget'!D11),'12 Management Budget'!D11,"")</x:f>
      </x:c>
      <x:c r="E21" s="148" t="str">
        <x:f>IF(ISNUMBER('12 Management Budget'!E11),'12 Management Budget'!E11,"")</x:f>
      </x:c>
      <x:c r="F21" s="148" t="str">
        <x:f>IF(ISNUMBER('12 Management Budget'!F11),'12 Management Budget'!F11,"")</x:f>
      </x:c>
      <x:c r="G21" s="148" t="str">
        <x:f>IF(ISNUMBER('12 Management Budget'!G11),'12 Management Budget'!G11,"")</x:f>
      </x:c>
      <x:c r="H21" s="148" t="str">
        <x:f>IF(ISNUMBER('12 Management Budget'!H11),'12 Management Budget'!H11,"")</x:f>
      </x:c>
      <x:c r="I21" s="148" t="str">
        <x:f>IF(ISNUMBER('12 Management Budget'!I11),'12 Management Budget'!I11,"")</x:f>
      </x:c>
      <x:c r="J21" s="148" t="str">
        <x:f>IF(ISNUMBER('12 Management Budget'!J11),'12 Management Budget'!J11,"")</x:f>
      </x:c>
      <x:c r="K21" s="148" t="str">
        <x:f>IF(ISNUMBER('12 Management Budget'!K11),'12 Management Budget'!K11,"")</x:f>
      </x:c>
      <x:c r="L21" s="148" t="str">
        <x:f>IF(ISNUMBER('12 Management Budget'!L11),'12 Management Budget'!L11,"")</x:f>
      </x:c>
      <x:c r="M21" s="148" t="str">
        <x:f>IF(ISNUMBER('12 Management Budget'!M11),'12 Management Budget'!M11,"")</x:f>
      </x:c>
      <x:c r="N21" s="148" t="str">
        <x:f>IF(ISNUMBER('12 Management Budget'!N11),'12 Management Budget'!N11,"")</x:f>
      </x:c>
      <x:c r="O21" s="148" t="str">
        <x:f>IF(ISNUMBER('12 Management Budget'!O11),'12 Management Budget'!O11,"")</x:f>
      </x:c>
      <x:c r="P21" s="155" t="str">
        <x:f>IF(ISNUMBER('12 Management Budget'!P11),'12 Management Budget'!P11,"")</x:f>
      </x:c>
    </x:row>
    <x:row r="22" ht="24" customHeight="1">
      <x:c r="B22" s="103"/>
      <x:c r="C22" s="104"/>
      <x:c r="D22" s="149"/>
      <x:c r="E22" s="149"/>
      <x:c r="F22" s="149"/>
      <x:c r="G22" s="149"/>
      <x:c r="H22" s="149"/>
      <x:c r="I22" s="149"/>
      <x:c r="J22" s="149"/>
      <x:c r="K22" s="149"/>
      <x:c r="L22" s="149"/>
      <x:c r="M22" s="149"/>
      <x:c r="N22" s="149"/>
      <x:c r="O22" s="149"/>
      <x:c r="P22" s="156"/>
    </x:row>
    <x:row r="23" ht="24" customHeight="1">
      <x:c r="B23" s="150" t="str">
        <x:v>Operating result</x:v>
      </x:c>
      <x:c r="C23" s="160" t="str">
        <x:v>Original draft</x:v>
      </x:c>
      <x:c r="D23" s="151" t="n">
        <x:f>IF(ISNUMBER('08 Draft P&amp;L'!D12),'08 Draft P&amp;L'!D12,"")</x:f>
        <x:v>26775</x:v>
      </x:c>
      <x:c r="E23" s="151" t="n">
        <x:f>IF(ISNUMBER('08 Draft P&amp;L'!E12),'08 Draft P&amp;L'!E12,"")</x:f>
        <x:v>32820</x:v>
      </x:c>
      <x:c r="F23" s="151" t="n">
        <x:f>IF(ISNUMBER('08 Draft P&amp;L'!F12),'08 Draft P&amp;L'!F12,"")</x:f>
        <x:v>39025</x:v>
      </x:c>
      <x:c r="G23" s="151" t="n">
        <x:f>IF(ISNUMBER('08 Draft P&amp;L'!G12),'08 Draft P&amp;L'!G12,"")</x:f>
        <x:v>48822.5</x:v>
      </x:c>
      <x:c r="H23" s="151" t="n">
        <x:f>IF(ISNUMBER('08 Draft P&amp;L'!H12),'08 Draft P&amp;L'!H12,"")</x:f>
        <x:v>39970</x:v>
      </x:c>
      <x:c r="I23" s="151" t="n">
        <x:f>IF(ISNUMBER('08 Draft P&amp;L'!I12),'08 Draft P&amp;L'!I12,"")</x:f>
        <x:v>42750</x:v>
      </x:c>
      <x:c r="J23" s="151" t="n">
        <x:f>IF(ISNUMBER('08 Draft P&amp;L'!J12),'08 Draft P&amp;L'!J12,"")</x:f>
        <x:v>37650</x:v>
      </x:c>
      <x:c r="K23" s="151" t="n">
        <x:f>IF(ISNUMBER('08 Draft P&amp;L'!K12),'08 Draft P&amp;L'!K12,"")</x:f>
        <x:v>64725</x:v>
      </x:c>
      <x:c r="L23" s="151" t="n">
        <x:f>IF(ISNUMBER('08 Draft P&amp;L'!L12),'08 Draft P&amp;L'!L12,"")</x:f>
        <x:v>75005</x:v>
      </x:c>
      <x:c r="M23" s="151" t="n">
        <x:f>IF(ISNUMBER('08 Draft P&amp;L'!M12),'08 Draft P&amp;L'!M12,"")</x:f>
        <x:v>90277.5</x:v>
      </x:c>
      <x:c r="N23" s="151" t="n">
        <x:f>IF(ISNUMBER('08 Draft P&amp;L'!N12),'08 Draft P&amp;L'!N12,"")</x:f>
        <x:v>69035</x:v>
      </x:c>
      <x:c r="O23" s="151" t="n">
        <x:f>IF(ISNUMBER('08 Draft P&amp;L'!O12),'08 Draft P&amp;L'!O12,"")</x:f>
        <x:v>60450</x:v>
      </x:c>
      <x:c r="P23" s="151" t="n">
        <x:f>IF(ISNUMBER('08 Draft P&amp;L'!P12),'08 Draft P&amp;L'!P12,"")</x:f>
        <x:v>627305</x:v>
      </x:c>
    </x:row>
    <x:row r="24" ht="24" customHeight="1">
      <x:c r="B24" s="152"/>
      <x:c r="C24" s="161" t="str">
        <x:v>Part 1 Red-pencil correction</x:v>
      </x:c>
      <x:c r="D24" s="153" t="str">
        <x:f>IF(ISNUMBER('10 Corrected Budget'!D12),'10 Corrected Budget'!D12,"")</x:f>
      </x:c>
      <x:c r="E24" s="153" t="str">
        <x:f>IF(ISNUMBER('10 Corrected Budget'!E12),'10 Corrected Budget'!E12,"")</x:f>
      </x:c>
      <x:c r="F24" s="153" t="str">
        <x:f>IF(ISNUMBER('10 Corrected Budget'!F12),'10 Corrected Budget'!F12,"")</x:f>
      </x:c>
      <x:c r="G24" s="153" t="str">
        <x:f>IF(ISNUMBER('10 Corrected Budget'!G12),'10 Corrected Budget'!G12,"")</x:f>
      </x:c>
      <x:c r="H24" s="153" t="str">
        <x:f>IF(ISNUMBER('10 Corrected Budget'!H12),'10 Corrected Budget'!H12,"")</x:f>
      </x:c>
      <x:c r="I24" s="153" t="str">
        <x:f>IF(ISNUMBER('10 Corrected Budget'!I12),'10 Corrected Budget'!I12,"")</x:f>
      </x:c>
      <x:c r="J24" s="153" t="str">
        <x:f>IF(ISNUMBER('10 Corrected Budget'!J12),'10 Corrected Budget'!J12,"")</x:f>
      </x:c>
      <x:c r="K24" s="153" t="str">
        <x:f>IF(ISNUMBER('10 Corrected Budget'!K12),'10 Corrected Budget'!K12,"")</x:f>
      </x:c>
      <x:c r="L24" s="153" t="str">
        <x:f>IF(ISNUMBER('10 Corrected Budget'!L12),'10 Corrected Budget'!L12,"")</x:f>
      </x:c>
      <x:c r="M24" s="153" t="str">
        <x:f>IF(ISNUMBER('10 Corrected Budget'!M12),'10 Corrected Budget'!M12,"")</x:f>
      </x:c>
      <x:c r="N24" s="153" t="str">
        <x:f>IF(ISNUMBER('10 Corrected Budget'!N12),'10 Corrected Budget'!N12,"")</x:f>
      </x:c>
      <x:c r="O24" s="153" t="str">
        <x:f>IF(ISNUMBER('10 Corrected Budget'!O12),'10 Corrected Budget'!O12,"")</x:f>
      </x:c>
      <x:c r="P24" s="153" t="str">
        <x:f>IF(ISNUMBER('10 Corrected Budget'!P12),'10 Corrected Budget'!P12,"")</x:f>
      </x:c>
    </x:row>
    <x:row r="25" ht="24" customHeight="1">
      <x:c r="B25" s="154"/>
      <x:c r="C25" s="162" t="str">
        <x:v>Part 2 Management plan</x:v>
      </x:c>
      <x:c r="D25" s="155" t="str">
        <x:f>IF(ISNUMBER('12 Management Budget'!D12),'12 Management Budget'!D12,"")</x:f>
      </x:c>
      <x:c r="E25" s="155" t="str">
        <x:f>IF(ISNUMBER('12 Management Budget'!E12),'12 Management Budget'!E12,"")</x:f>
      </x:c>
      <x:c r="F25" s="155" t="str">
        <x:f>IF(ISNUMBER('12 Management Budget'!F12),'12 Management Budget'!F12,"")</x:f>
      </x:c>
      <x:c r="G25" s="155" t="str">
        <x:f>IF(ISNUMBER('12 Management Budget'!G12),'12 Management Budget'!G12,"")</x:f>
      </x:c>
      <x:c r="H25" s="155" t="str">
        <x:f>IF(ISNUMBER('12 Management Budget'!H12),'12 Management Budget'!H12,"")</x:f>
      </x:c>
      <x:c r="I25" s="155" t="str">
        <x:f>IF(ISNUMBER('12 Management Budget'!I12),'12 Management Budget'!I12,"")</x:f>
      </x:c>
      <x:c r="J25" s="155" t="str">
        <x:f>IF(ISNUMBER('12 Management Budget'!J12),'12 Management Budget'!J12,"")</x:f>
      </x:c>
      <x:c r="K25" s="155" t="str">
        <x:f>IF(ISNUMBER('12 Management Budget'!K12),'12 Management Budget'!K12,"")</x:f>
      </x:c>
      <x:c r="L25" s="155" t="str">
        <x:f>IF(ISNUMBER('12 Management Budget'!L12),'12 Management Budget'!L12,"")</x:f>
      </x:c>
      <x:c r="M25" s="155" t="str">
        <x:f>IF(ISNUMBER('12 Management Budget'!M12),'12 Management Budget'!M12,"")</x:f>
      </x:c>
      <x:c r="N25" s="155" t="str">
        <x:f>IF(ISNUMBER('12 Management Budget'!N12),'12 Management Budget'!N12,"")</x:f>
      </x:c>
      <x:c r="O25" s="155" t="str">
        <x:f>IF(ISNUMBER('12 Management Budget'!O12),'12 Management Budget'!O12,"")</x:f>
      </x:c>
      <x:c r="P25" s="155" t="str">
        <x:f>IF(ISNUMBER('12 Management Budget'!P12),'12 Management Budget'!P12,"")</x:f>
      </x:c>
    </x:row>
    <x:row r="26">
      <x:c r="B26" s="103"/>
      <x:c r="C26" s="103"/>
      <x:c r="D26" s="103"/>
      <x:c r="E26" s="103"/>
      <x:c r="F26" s="103"/>
      <x:c r="G26" s="103"/>
      <x:c r="H26" s="103"/>
      <x:c r="I26" s="103"/>
      <x:c r="J26" s="103"/>
      <x:c r="K26" s="103"/>
      <x:c r="L26" s="103"/>
      <x:c r="M26" s="103"/>
      <x:c r="N26" s="103"/>
      <x:c r="O26" s="103"/>
      <x:c r="P26" s="103"/>
    </x:row>
    <x:row r="27">
      <x:c r="B27" s="103"/>
      <x:c r="C27" s="103"/>
      <x:c r="D27" s="103"/>
      <x:c r="E27" s="103"/>
      <x:c r="F27" s="103"/>
      <x:c r="G27" s="103"/>
      <x:c r="H27" s="103"/>
      <x:c r="I27" s="103"/>
      <x:c r="J27" s="103"/>
      <x:c r="K27" s="103"/>
      <x:c r="L27" s="103"/>
      <x:c r="M27" s="103"/>
      <x:c r="N27" s="103"/>
      <x:c r="O27" s="103"/>
      <x:c r="P27" s="103"/>
    </x:row>
    <x:row r="28" ht="30" customHeight="1">
      <x:c r="B28" s="110" t="str">
        <x:v>Complete both budgets. The comparison fills automatically; no trainer answers are included.</x:v>
      </x:c>
      <x:c r="C28" s="110"/>
      <x:c r="D28" s="110"/>
      <x:c r="E28" s="110"/>
      <x:c r="F28" s="110"/>
      <x:c r="G28" s="110"/>
      <x:c r="H28" s="110"/>
      <x:c r="I28" s="110"/>
      <x:c r="J28" s="110"/>
      <x:c r="K28" s="110"/>
      <x:c r="L28" s="110"/>
      <x:c r="M28" s="110"/>
      <x:c r="N28" s="110"/>
      <x:c r="O28" s="110"/>
      <x:c r="P28" s="110"/>
    </x:row>
  </x:sheetData>
  <x:pageMargins left="0.7" right="0.7" top="0.75" bottom="0.75" header="0.3" footer="0.3"/>
</x:worksheet>
</file>